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ruz\OneDrive\Escritorio\"/>
    </mc:Choice>
  </mc:AlternateContent>
  <xr:revisionPtr revIDLastSave="0" documentId="13_ncr:1_{78EF3E96-D984-4FB0-9A98-73C37BD9A003}" xr6:coauthVersionLast="47" xr6:coauthVersionMax="47" xr10:uidLastSave="{00000000-0000-0000-0000-000000000000}"/>
  <bookViews>
    <workbookView xWindow="-110" yWindow="-110" windowWidth="19420" windowHeight="10300" xr2:uid="{7F0843AC-49D3-414A-902B-DB20C9C085F6}"/>
  </bookViews>
  <sheets>
    <sheet name="Catálogo para app web" sheetId="2" r:id="rId1"/>
  </sheets>
  <definedNames>
    <definedName name="_xlnm._FilterDatabase" localSheetId="0" hidden="1">'Catálogo para app web'!$B$1:$I$588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4" i="2" l="1"/>
  <c r="H534" i="2"/>
  <c r="I504" i="2"/>
  <c r="H504" i="2"/>
  <c r="I503" i="2"/>
  <c r="H503" i="2"/>
  <c r="I488" i="2"/>
  <c r="H488" i="2"/>
  <c r="I479" i="2"/>
  <c r="H479" i="2"/>
  <c r="I468" i="2"/>
  <c r="H468" i="2"/>
  <c r="I247" i="2"/>
  <c r="H247" i="2"/>
  <c r="I185" i="2"/>
  <c r="H185" i="2"/>
  <c r="I184" i="2"/>
  <c r="H184" i="2"/>
  <c r="H176" i="2"/>
  <c r="I176" i="2"/>
  <c r="H173" i="2"/>
  <c r="I173" i="2"/>
  <c r="H174" i="2"/>
  <c r="I174" i="2"/>
  <c r="I52" i="2"/>
  <c r="H52" i="2"/>
  <c r="I97" i="2"/>
  <c r="H97" i="2"/>
  <c r="I588" i="2"/>
  <c r="H588" i="2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I557" i="2"/>
  <c r="H557" i="2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H445" i="2"/>
  <c r="H444" i="2"/>
  <c r="H443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5" i="2"/>
  <c r="H175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51" i="2"/>
  <c r="H51" i="2"/>
  <c r="I49" i="2"/>
  <c r="H49" i="2"/>
  <c r="I50" i="2"/>
  <c r="H50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</calcChain>
</file>

<file path=xl/sharedStrings.xml><?xml version="1.0" encoding="utf-8"?>
<sst xmlns="http://schemas.openxmlformats.org/spreadsheetml/2006/main" count="3532" uniqueCount="1936">
  <si>
    <t>Producto</t>
  </si>
  <si>
    <t>Marca</t>
  </si>
  <si>
    <t>Categoría</t>
  </si>
  <si>
    <t>Sub-Categoría</t>
  </si>
  <si>
    <t>Price</t>
  </si>
  <si>
    <t>Tax</t>
  </si>
  <si>
    <t>Final Price</t>
  </si>
  <si>
    <t>Price+CRV</t>
  </si>
  <si>
    <t>Jugo de piña, lata 330 ml, 24 unidades por caja</t>
  </si>
  <si>
    <t>DEL FRUTAL</t>
  </si>
  <si>
    <t>JUGOS</t>
  </si>
  <si>
    <t>Jugos</t>
  </si>
  <si>
    <t>Jugo de melocotón, lata 330 ml, 24 unidades por caja</t>
  </si>
  <si>
    <t>Jugo de manzana, lata 330 ml, 24 unidades por caja</t>
  </si>
  <si>
    <t>Jugo de mango, lata 330 ml, 24 unidades por caja</t>
  </si>
  <si>
    <t>Jugo de banano fresa, lata 330 ml, 24 unidades por caja</t>
  </si>
  <si>
    <t>Jugo de pera, lata 330 ml, 24 unidades por caja</t>
  </si>
  <si>
    <t>Nectar de piña Tetra 1 litro, 12 unidades por caja</t>
  </si>
  <si>
    <t>Nectar de melocotón Tetra 1 litro, 12 unidades por caja</t>
  </si>
  <si>
    <t>Nectar de manzana Tetra 1 litro, 12 unidades por caja</t>
  </si>
  <si>
    <t>Nectar de mango Tetra 1 litro, 12 unidades por caja</t>
  </si>
  <si>
    <t>Jugo de naranja, Plástico, 500 ml, 12/16.9 fl oz</t>
  </si>
  <si>
    <t>Jugo naranja zanahoria, vidrio 475 ml, 12/16.1 fl oz</t>
  </si>
  <si>
    <t>DE MI PAIS</t>
  </si>
  <si>
    <t>Jugo guanabana, vidrio 475 ml, 12/16.1 fl oz</t>
  </si>
  <si>
    <t>Jugo marañon, vidrio 475 ml, 12/16.1 fl oz</t>
  </si>
  <si>
    <t>Jugo piña coco, vidrio 475 ml, 12/16.1 fl oz</t>
  </si>
  <si>
    <t>Leche de coco, vidrio 16.4 oz, 12 unidades por caja</t>
  </si>
  <si>
    <t xml:space="preserve">Leche de fresa, vidrio 16.4 oz, 12 unidades por caja </t>
  </si>
  <si>
    <t xml:space="preserve">Leche de mango, vidrio 16.4 oz, 12 unidades por caja </t>
  </si>
  <si>
    <t xml:space="preserve">Leche de banano, vidrio 16.4 oz, 12 unidades por caja </t>
  </si>
  <si>
    <t xml:space="preserve">Soursop, vidrio 16.4 oz, 12 unidades por caja </t>
  </si>
  <si>
    <t xml:space="preserve">Piña colada, vidrio 16.4 oz, 12 unidades por caja </t>
  </si>
  <si>
    <t xml:space="preserve">Cocoa, vidrio 16.4 oz, 12 unidades por caja </t>
  </si>
  <si>
    <t xml:space="preserve">Cofee, vidrio 16.4 oz, 12 unidades por caja </t>
  </si>
  <si>
    <t>Jugo de coco con pulpa, 300 ml, 12 unidades por caja</t>
  </si>
  <si>
    <t>Jugo de lichi , lata 16.9 oz, 24 unidades por caja</t>
  </si>
  <si>
    <t>Jugo de mango, lata 5.3 oz / 157 ml, 48 unidades por caja</t>
  </si>
  <si>
    <t>Jugo de guayaba, lata 5.3 oz / 157 ml, 48 unidades por caja</t>
  </si>
  <si>
    <t>Jugo de mamey fruit, lata 5.3 oz / 157 ml, 48 unidades por caja</t>
  </si>
  <si>
    <t>Jugo de horchata, lata 5.3 oz / 157 ml, 48 unidades por caja</t>
  </si>
  <si>
    <t>Jugo de jamaica, lata 5.3 oz / 157 ml, 48 unidades por caja</t>
  </si>
  <si>
    <t>Jugo de piña, lata 5.3 oz / 157 ml, 48 unidades por caja</t>
  </si>
  <si>
    <t>Jugo de sandía, lata 5.3 oz / 157 ml, 48 unidades por caja</t>
  </si>
  <si>
    <t>Jugo de papaya, lata 5.3 oz / 157 ml, 48 unidades por caja</t>
  </si>
  <si>
    <t>Jugo de tamarindo, lata 5.3 oz / 157 ml, 48 unidades por caja</t>
  </si>
  <si>
    <t>Jugo de marañón, lata 5.3 oz / 157 ml, 48 unidades por caja</t>
  </si>
  <si>
    <t>Jugo coconut water, lata 5.3 oz / 157 ml, 48 unidades por caja</t>
  </si>
  <si>
    <t>Jugo de naranja, plástico, 500 ml tetra, 24 unidades por caja</t>
  </si>
  <si>
    <t>DE LA GRANJA</t>
  </si>
  <si>
    <t>Jugo de naranja, plástico, 500 ml, 12 unidades por caja</t>
  </si>
  <si>
    <t>Jugo de naranja, plástico, 990 ml, 12 unidades por caja</t>
  </si>
  <si>
    <t>Jugo de naranja, plástico, 1890 ml, 4 unidades por caja</t>
  </si>
  <si>
    <t>Jugo de naranja, plástico, 3400 ml, 6 unidades por caja</t>
  </si>
  <si>
    <t>Jugo de vegetales, lata 157 ml, 48 unidades por caja</t>
  </si>
  <si>
    <t>DUCAL</t>
  </si>
  <si>
    <t>Jugo de melocotón, lata 157 ml, 48 unidades por caja</t>
  </si>
  <si>
    <t>Jugo de manzana, lata 157 ml, 48 unidades por caja</t>
  </si>
  <si>
    <t>Jugo de pineapple, lata 157 ml, 48 unidades por caja</t>
  </si>
  <si>
    <t>Malteada de fresa, 15.90 oz, 12 unidades</t>
  </si>
  <si>
    <t>SULA</t>
  </si>
  <si>
    <t>Malteada de chocolate, 15.90 oz, 12 unidades</t>
  </si>
  <si>
    <t>Malteada de vainilla, 15.90 oz, 12 unidades</t>
  </si>
  <si>
    <t>Jugo de naranja, 32 fl, 940 ml</t>
  </si>
  <si>
    <t>Jugo de ponche de frutas, 32 fl, 940 ml</t>
  </si>
  <si>
    <t>Jugo de manzana, 32 fl, 940 ml</t>
  </si>
  <si>
    <t>Leche de vainilla, 200 ml, 24 unidades por caja</t>
  </si>
  <si>
    <t>SHAKA LAKA</t>
  </si>
  <si>
    <t>Leche de fresa, 200 ml, 24 unidades por caja</t>
  </si>
  <si>
    <t>Leche de chocolate, 200 ml, 24 unidades por caja</t>
  </si>
  <si>
    <t>Néctar de manzana, 330 ml, 24 unidades</t>
  </si>
  <si>
    <t>KERN’S</t>
  </si>
  <si>
    <t>Néctar de pera, 330 ml, 24 unidades</t>
  </si>
  <si>
    <t>Néctar de piña, 330 ml, 24 unidades</t>
  </si>
  <si>
    <t>Néctar de melocotón, 330 ml, 24 unidades</t>
  </si>
  <si>
    <t>Néctar de frutas tropicales, 330 ml, 24 unidades</t>
  </si>
  <si>
    <t>Néctar de vegetales, 330 ml, 24 unidades</t>
  </si>
  <si>
    <t>Jugo Tomate, lata 154 ml, 48/ 5.2 oz</t>
  </si>
  <si>
    <t>Jugo de piña y coco, plástico, 500 ml, 24/16.9 oz</t>
  </si>
  <si>
    <t>CALIFORNIA</t>
  </si>
  <si>
    <t>Jugo de kiwi y fresa, plástico, 500 ml, 24/16.9 oz</t>
  </si>
  <si>
    <t>Jugo de mora y uva, plástico, 500 ml, 24/16.9 oz</t>
  </si>
  <si>
    <t>Leche de fresa, vidrio, 290 ml, 24/9.8 fl oz</t>
  </si>
  <si>
    <t>FRUSECHA</t>
  </si>
  <si>
    <t>Leche de coco, vidrio, 290 ml, 24/9.8 fl oz</t>
  </si>
  <si>
    <t>Jugo de coco, Lata, 500 ml, 24/16.9 fl oz</t>
  </si>
  <si>
    <t>Jugo de tamarindo, Lata, 500 ml, 24/16.9 fl oz</t>
  </si>
  <si>
    <t>Coctel de vegetales con almejas, 250 ml, 24/8.45 fl oz</t>
  </si>
  <si>
    <t>MARINERO</t>
  </si>
  <si>
    <t>Coctel de vegetales con almejas y picante, 250 ml, 24/8.45 fl oz</t>
  </si>
  <si>
    <t>Cola Cola vidrio 12 oz, 24 unidades por caja</t>
  </si>
  <si>
    <t>COCA COLA</t>
  </si>
  <si>
    <t>SODAS Y MAS</t>
  </si>
  <si>
    <t>Sodas</t>
  </si>
  <si>
    <t>Coca Cola vidrio ½ L, 24 unidades por caja</t>
  </si>
  <si>
    <t>Fanta, vidrio 12 oz, 24 unidades por caja</t>
  </si>
  <si>
    <t>FANTA</t>
  </si>
  <si>
    <t>Soda 7 UP de vidrio 12 oz, 24 unidades por caja</t>
  </si>
  <si>
    <t>7 UP</t>
  </si>
  <si>
    <t>Pepsi vidrio ½ litro, 24 unidades por caja</t>
  </si>
  <si>
    <t>PEPSI</t>
  </si>
  <si>
    <t>Lata 12 oz, 24 unidades por caja</t>
  </si>
  <si>
    <t>TIKY</t>
  </si>
  <si>
    <t>Plástico 20 oz ,12 unidades por caja</t>
  </si>
  <si>
    <t>Plástico 3 litros, 6 unidades por caja</t>
  </si>
  <si>
    <t>Vidrio 12 oz, 24 unidades por caja</t>
  </si>
  <si>
    <t>LEMON CRUSH</t>
  </si>
  <si>
    <t>Plástico 20 oz, 12 unidades por caja</t>
  </si>
  <si>
    <t>ORANGE CRUSH</t>
  </si>
  <si>
    <t>Soda Vidrio 12 oz, 24 unidades por caja</t>
  </si>
  <si>
    <t>MIRINDA</t>
  </si>
  <si>
    <t>Vidrio ½ litro, 24 unidades por caja</t>
  </si>
  <si>
    <t>Plástico 3 litros 6 unidades por caja</t>
  </si>
  <si>
    <t>SALUTARIS</t>
  </si>
  <si>
    <t>Vidrio 1 Litro, 24 unidades por caja</t>
  </si>
  <si>
    <t>Soda Mineral, vidrio 12 oz, 24 unidades por caja</t>
  </si>
  <si>
    <t>SHANGRI-LA</t>
  </si>
  <si>
    <t>CUZCATLAN</t>
  </si>
  <si>
    <t>Plástico 20 oz, 24 unidades por caja</t>
  </si>
  <si>
    <t>Kolashanpan mini 6.5, 24 unidades por caja</t>
  </si>
  <si>
    <t>Soda banana, vidrio 16.9 oz, 24 unidades por caja</t>
  </si>
  <si>
    <t>TROPICAL</t>
  </si>
  <si>
    <t>Soda uva, vidrio 16.9 oz, 24 unidades por caja</t>
  </si>
  <si>
    <t>Soda banana, vidrio 12 oz, 24 unidades por caja</t>
  </si>
  <si>
    <t>Soda uva, vidrio 12 oz, 24 unidades por caja</t>
  </si>
  <si>
    <t>Rica Piña vidrio, 355 ml 24/12 fl oz</t>
  </si>
  <si>
    <t>RICA</t>
  </si>
  <si>
    <t>Rica Roja vidrio, 355 ml 24/12 fl oz</t>
  </si>
  <si>
    <t>Refresco Apple Soda, vidrio 350 ml, 24 unidades x case</t>
  </si>
  <si>
    <t>SALVAVIDAS</t>
  </si>
  <si>
    <t>Refresco Uva, vidrio 350 ml, 24 unidades x case</t>
  </si>
  <si>
    <t>Refresco Fresa, vidrio 350 ml, 24 unidades x case</t>
  </si>
  <si>
    <t>Refresco Limón, vidrio 350 ml, 24 unidades x case</t>
  </si>
  <si>
    <t>Refresco Naranja, vidrio 350 ml, 24 unidades x case</t>
  </si>
  <si>
    <t>Refresco Uva, lata 350 ml, 24/11.8 fl oz</t>
  </si>
  <si>
    <t>Refresco Roja, lata 350 ml, 24/11.8 fl oz</t>
  </si>
  <si>
    <t>Refresco Limón, lata 350 ml, 24/11.8 fl oz</t>
  </si>
  <si>
    <t>Soda naranja, vidrio 12 oz, 24 unidades por caja</t>
  </si>
  <si>
    <t>INDIA QUICHÉ</t>
  </si>
  <si>
    <t>Soda crema soda, vidrio 12 oz, 24 unidades por caja</t>
  </si>
  <si>
    <t>Soda limón, vidrio 12 oz, 24 unidades por caja</t>
  </si>
  <si>
    <t>Soda piña, vidrio 12 oz, 24 unidades por caja</t>
  </si>
  <si>
    <t>La Nuestra, en lata, 330 ml, 12 fl oz, 24 unidades</t>
  </si>
  <si>
    <t>COLOMBIANA</t>
  </si>
  <si>
    <t>Vidrio, 330 ml, 4/6 packs, 11.2 fl oz.</t>
  </si>
  <si>
    <t>PONY MALTA</t>
  </si>
  <si>
    <t>Lata 10 oz, 24 unidades por caja</t>
  </si>
  <si>
    <t>ADRENALINE</t>
  </si>
  <si>
    <t>Bebida energizantes</t>
  </si>
  <si>
    <t>Lata 16 oz, 24 unidades por caja</t>
  </si>
  <si>
    <t>Plástico 625 ml, 12 unidades por caja</t>
  </si>
  <si>
    <t>VOLT</t>
  </si>
  <si>
    <t>Plástico 500 ml, 24 unidades por caja</t>
  </si>
  <si>
    <t>RAPTOR</t>
  </si>
  <si>
    <t>Raptor lava, lata 473 ml, 24 unidades por caja</t>
  </si>
  <si>
    <t>Raptor original, lata 473 ml, 24 unidades por caja</t>
  </si>
  <si>
    <t>Raptor thunder, lata 473 ml, 24 unidades por caja</t>
  </si>
  <si>
    <t>Raptor Ponche de frutas, lata 473 ml, 24 unidades por caja</t>
  </si>
  <si>
    <t>Raptor Xtracto, lata, 473 ml, 24 unidades por caja</t>
  </si>
  <si>
    <t xml:space="preserve">Guaraná, lata, 24/16 fl oz, </t>
  </si>
  <si>
    <t xml:space="preserve">Ponche de frutas, lata, 24/16 fl oz, </t>
  </si>
  <si>
    <t>Blue Energy, 15/473 ml</t>
  </si>
  <si>
    <t>Dark Energy, 16 fl, 473 ml</t>
  </si>
  <si>
    <t>AMP Original, plástico, 600 ml, 12/20 fl oz</t>
  </si>
  <si>
    <t>AMP 365</t>
  </si>
  <si>
    <t>AMP Forte, plástico, 600 ml, 12/20 fl oz</t>
  </si>
  <si>
    <t>AMP Energy, plástico, 600 ml, 12/20 fl oz</t>
  </si>
  <si>
    <t>Suero oral durazno, vidrio, 450 ml, 24/15.2 fl oz</t>
  </si>
  <si>
    <t>GLUCOSORAL</t>
  </si>
  <si>
    <t>Suero</t>
  </si>
  <si>
    <t>Suero oral manzana, vidrio, 450 ml, 24/15.2 fl oz</t>
  </si>
  <si>
    <t>Suero oral coco, vidrio, 450 ml, 24/15.2 fl oz</t>
  </si>
  <si>
    <t>Suero oral cereza, vidrio, 450 ml, 24/15.2 fl oz</t>
  </si>
  <si>
    <t>Suero oral frambuesa, vidrio, 450 ml, 24/15.2 fl oz</t>
  </si>
  <si>
    <t>Suero oral uva, vidrio, 450 ml, 24/15.2 fl oz</t>
  </si>
  <si>
    <t>Diana Alboroto, 24/4.76 oz</t>
  </si>
  <si>
    <t>DIANA</t>
  </si>
  <si>
    <t>GALLETAS Y SNACKS</t>
  </si>
  <si>
    <t>Snack</t>
  </si>
  <si>
    <t>Diana Churritos, 24/1.69 oz</t>
  </si>
  <si>
    <t>Diana Corn chips, 24/4.30 oz</t>
  </si>
  <si>
    <t>Diana Corn brights, 24/4.51 oz</t>
  </si>
  <si>
    <t>Diana Jalapeños, 24/3.84 oz</t>
  </si>
  <si>
    <t>Diana Maíz chino, 24/2.32 oz</t>
  </si>
  <si>
    <t>Diana Nachos, 24/3.52 oz</t>
  </si>
  <si>
    <t>Diana Maní Japones, 24/4.30 oz</t>
  </si>
  <si>
    <t>Diana Pachanga Mix, 24/3.52 oz</t>
  </si>
  <si>
    <t>Diana Palitos, 24/3.52 oz</t>
  </si>
  <si>
    <t>Diana Planitos, 24/3.52 oz</t>
  </si>
  <si>
    <t>Diana Palitos Spicy lime, 24/5.57 oz</t>
  </si>
  <si>
    <t>Tozteca Original, 12/150 g (5.3 oz), 4 docenas por caja completa</t>
  </si>
  <si>
    <t>Chips elotitos barbacoa, 122 g, 35/4.30 oz</t>
  </si>
  <si>
    <t>Chips elotitos picante, 122 g, 35/4.30 oz</t>
  </si>
  <si>
    <t>Chips elotitos limón, 122 g, 35/4.30 oz</t>
  </si>
  <si>
    <t>Pic-Nic vainilla, 170 g, 30/6.3 oz</t>
  </si>
  <si>
    <t>Galletas</t>
  </si>
  <si>
    <t>Pic-Nic fresa, 170 g, 30/6.3 oz</t>
  </si>
  <si>
    <t>Pic-Nic chocolate, 170 g, 30/6.3 oz</t>
  </si>
  <si>
    <t>Caramelo con leche, 14 unidades por caja</t>
  </si>
  <si>
    <t>Dulces</t>
  </si>
  <si>
    <t>Cereza, 44 unidades por caja</t>
  </si>
  <si>
    <t>Goma Pino, 24 unidades por caja</t>
  </si>
  <si>
    <t>Nougat Fresa, 24 unidades por caja</t>
  </si>
  <si>
    <t>Nougat Vainilla, 24 unidades por caja</t>
  </si>
  <si>
    <t>Chips, Tortillitas, 24/100 g (3.53 oz)</t>
  </si>
  <si>
    <t>SEÑORIAL</t>
  </si>
  <si>
    <t>Chobix, Chips Limón 8/100 g</t>
  </si>
  <si>
    <t>Chobix, Chips Picante 8/100 g</t>
  </si>
  <si>
    <t>Nachobix 12/150 gr</t>
  </si>
  <si>
    <t>Chips, Tortillitas mix con Aritos,12/250 g (8.8 oz)</t>
  </si>
  <si>
    <t>Chips, Tortillitas mix con Quesifritos,12/250 g (8.8 oz)</t>
  </si>
  <si>
    <t>Tortillitas Señorial Llamas, 24/100 g (3.53 oz)</t>
  </si>
  <si>
    <t>Chicharron Señorial criollo, 24/856 g (3 oz)</t>
  </si>
  <si>
    <t>Chicharron Señorial original, 18/56 g (1.98 oz)</t>
  </si>
  <si>
    <t>Pop corn, sabor original, 12/125 g</t>
  </si>
  <si>
    <t>Pop corn, sabor mantequilla, 12/125 g</t>
  </si>
  <si>
    <t>Pop corn, sabor queso, 12/125 g</t>
  </si>
  <si>
    <t>FRITO LAY</t>
  </si>
  <si>
    <t>Poffets queso, 12/36 g (1.3 oz), 3 docenas por caja completa</t>
  </si>
  <si>
    <t>Limón, Presentación El Galán, 2.7 oz, 24/76 g</t>
  </si>
  <si>
    <t>TORTRIX</t>
  </si>
  <si>
    <t>Barbaco, Presentación El Galán, 2.7 oz, 24/76 g</t>
  </si>
  <si>
    <t>Picante, Presentación El Galán, 2.7 oz, 24/76 g</t>
  </si>
  <si>
    <t>Mix de todito, 20/150 g, 5.3 oz</t>
  </si>
  <si>
    <t>Chapinacho Jalapeño, 10/300 g (10.6 oz)</t>
  </si>
  <si>
    <t>Mix Pikarones, 17/150 g (5.3 oz)</t>
  </si>
  <si>
    <t>Chapimix picarico, 17/150 gr (5.3 oz)</t>
  </si>
  <si>
    <t>Chapimix cebollitas, 17/150 gr (5.3)</t>
  </si>
  <si>
    <t>Barbacoa Familiar, 32/180 g (6.3 oz)</t>
  </si>
  <si>
    <t>Picante Familiar, 32/180 g (6.3 oz)</t>
  </si>
  <si>
    <t>Limón Familiar, 32/180 g (6.3 oz)</t>
  </si>
  <si>
    <t>Tacos salsa criolla Familiar, 32/180 g (6.3 oz)</t>
  </si>
  <si>
    <t>Pikarones, 4.2 oz, 14/120 g.</t>
  </si>
  <si>
    <t>FILLER</t>
  </si>
  <si>
    <t>Cebollitas, 5.5 oz, 14/155 g.</t>
  </si>
  <si>
    <t>Gustito Súper Churro 26/55 g, 1.94 oz</t>
  </si>
  <si>
    <t>BOCADELI</t>
  </si>
  <si>
    <t>Gustito Súper Churro picantillo 26/55 g, 1.94 oz</t>
  </si>
  <si>
    <t>Gustito Salsa y queso, 26/65 g, 2.29 oz</t>
  </si>
  <si>
    <t>Frijoli Chips, 26/125 g, 4.41 oz</t>
  </si>
  <si>
    <t>Frijoli Chips chile, 26/125 g, 4.41 oz</t>
  </si>
  <si>
    <t>Papasitas queso, 26/50 g, 1.76 oz</t>
  </si>
  <si>
    <t>Quesitrix con chile, 32/115 g, 4.06 oz</t>
  </si>
  <si>
    <t>Trompetas de pizza, 26/64 g, 2.26 oz</t>
  </si>
  <si>
    <t>Piguis original, tocino y limón 25/75 g, 2.65 oz</t>
  </si>
  <si>
    <t>YUMMIES</t>
  </si>
  <si>
    <t>Zambos Picositos, 24/155 g, 5.5 oz.</t>
  </si>
  <si>
    <t>Zambos Maduritos, 24/155 g, 5.5 oz.</t>
  </si>
  <si>
    <t>Zambos Salsa verde, 24/155 g, 5.5 oz.</t>
  </si>
  <si>
    <t>Zambos ceviche, 24/155 g, 5.5 oz.</t>
  </si>
  <si>
    <t>Zambos tajín, 24/155 g, 5.5 oz.</t>
  </si>
  <si>
    <t>Zambos Yuquitas originales, 24/155 g, 5.5 oz.</t>
  </si>
  <si>
    <t>Zambos Yuquitas chile toreado, 24/155 g, 5.5 oz.</t>
  </si>
  <si>
    <t>Zambos Anillitos de papa Barbacoa, 24/150 g (5.3 oz)</t>
  </si>
  <si>
    <t>Zambos Anillitos Jalapeños, 24/150 g (5.3 oz)</t>
  </si>
  <si>
    <t>Ranchitas Nacho excitantes, 24/150 g (5.3 oz.)</t>
  </si>
  <si>
    <t>Ranchitas Nacho queso, 24/150 g (5.3 oz.)</t>
  </si>
  <si>
    <t>Taqueritos chile toreado, 20/227 g (8 oz.)</t>
  </si>
  <si>
    <t>Galleta sabor chocolate, 16 oz, 16 unidades por caja</t>
  </si>
  <si>
    <t>CHIKY</t>
  </si>
  <si>
    <t>Galleta sabor vainilla, 16 oz, 16 unidades por caja</t>
  </si>
  <si>
    <t>Galleta sabor fresa, 16 oz, 16 unidades por caja</t>
  </si>
  <si>
    <t>Galleta sabor lemon, 16 oz, 16 unidades por caja</t>
  </si>
  <si>
    <t>Galleta sabor chocobanano, 16 oz, 16 unidades por caja</t>
  </si>
  <si>
    <t>Galleta sabor coconut, 16 oz, 16 unidades por caja</t>
  </si>
  <si>
    <t>Galleta sabor caramelo, 16 oz, 16 unidades por caja</t>
  </si>
  <si>
    <t>Galleta sabor cappuccino, 16 oz, 16 unidades por caja</t>
  </si>
  <si>
    <t>Galleta Margarita 397 g (14 oz)</t>
  </si>
  <si>
    <t>DAISY COOKIE</t>
  </si>
  <si>
    <t>CAN CAN</t>
  </si>
  <si>
    <t>POZUELO</t>
  </si>
  <si>
    <t>Galleta Tipo, 12/20 g (0.70 oz) c/u</t>
  </si>
  <si>
    <t>Galleta mantequilla, 11 oz (311.8 G), 26 unidades por caja</t>
  </si>
  <si>
    <t>Galleta Canasta sabor Guayaba con mermelada, 9.17 oz, 30 unidades por caja</t>
  </si>
  <si>
    <t>GRANADA</t>
  </si>
  <si>
    <t>Galleta chocolatada vainilla, 252 g, (8.9 oz), 6 paquetes de 12 unidades</t>
  </si>
  <si>
    <t>Barra de chocolate 24 g, (0.8 oz), 36 unidades por paquete, 8 paquetes por caja</t>
  </si>
  <si>
    <t>BANDIDO</t>
  </si>
  <si>
    <t>Chocolate</t>
  </si>
  <si>
    <t>BEST</t>
  </si>
  <si>
    <t>Chocolate Chapin Extra Crunch, 37 g/ 1.30 oz, 24 unidades por caja</t>
  </si>
  <si>
    <t>Botoneta sabor a chocolate, 9 g, 24 unidades por caja</t>
  </si>
  <si>
    <t>Botoneta con maní, 9 g, 20 tiras por caja</t>
  </si>
  <si>
    <t>Hipo, Marshmallows cubierto de chocolate, 30 g (1 oz), 10 unidades por tira, 16 tiras por caja</t>
  </si>
  <si>
    <t>GUANDY</t>
  </si>
  <si>
    <t>Angelitos, Malvaviscos Jumbo, 300 g (10.6 oz), 50 unidades por bolsa, 20 bolsas por caja</t>
  </si>
  <si>
    <t>Fruty Mix, 194 g</t>
  </si>
  <si>
    <t>DON BETO</t>
  </si>
  <si>
    <t>PAN</t>
  </si>
  <si>
    <t>Gelatinas</t>
  </si>
  <si>
    <t>Gelatinas, 30 redes de 10 gelatinas por caja</t>
  </si>
  <si>
    <t>DELY-GELY</t>
  </si>
  <si>
    <t>Gelatinas, 12 redes de 25 gelatinas por caja</t>
  </si>
  <si>
    <t>Topo Gigios, pack</t>
  </si>
  <si>
    <t>Bolsas para helados</t>
  </si>
  <si>
    <t>Rosca roja 12/175 g (6.17 oz)</t>
  </si>
  <si>
    <t>VIVA MI PAIS</t>
  </si>
  <si>
    <t>Pan</t>
  </si>
  <si>
    <t>Rosca de Feria 12/200 g (7 oz)</t>
  </si>
  <si>
    <t>Pan de hojaldre chapin, 14 unidades por caja, 8 pan por bolsa</t>
  </si>
  <si>
    <t>Champurrada Chapina, 12 unidades por caja, 8 por bolsa</t>
  </si>
  <si>
    <t xml:space="preserve">Galleta Casino, 10 oz, 1 caja/24 </t>
  </si>
  <si>
    <t>LIDO</t>
  </si>
  <si>
    <t>Galleta Cremosa, 11 oz, 1 caja/24</t>
  </si>
  <si>
    <t>Galleta Vita, 10.5 oz, 1 caja/18</t>
  </si>
  <si>
    <t>Keykito Largo, 10 oz, 1 caja/10</t>
  </si>
  <si>
    <t>Pichardin, 8.46 oz, 1 caja/16</t>
  </si>
  <si>
    <t>Pan Alemana, 21.14 oz, 1 caja/12</t>
  </si>
  <si>
    <t>Pan Alemana, 10.5 oz, 1 caja/24</t>
  </si>
  <si>
    <t>Galleta Madeline, 6.9 oz, 1 caja/16</t>
  </si>
  <si>
    <t>Semita de piña, 14 oz, 1 caja/16</t>
  </si>
  <si>
    <t>Galleta Suspiro, 4 oz, 1 caja/30</t>
  </si>
  <si>
    <t>Salporina 296 g (10.44 oz), 12 paquetes por caja, 9 unidades por paquete.</t>
  </si>
  <si>
    <t>Margarita Río Grande, 32 g (1.1 oz), 16 paquetes por caja, 6 unidades por paquete.</t>
  </si>
  <si>
    <t>Coco Margarita, 296 g 10.44 oz, 9 unidades por paquete, 12 paquetes por caja.</t>
  </si>
  <si>
    <t>Quesadilla, 6.4 oz, 12 unidades</t>
  </si>
  <si>
    <t>Marquesote, 8 z, 12 unidades</t>
  </si>
  <si>
    <t>Campirana, 11 oz, 22 unidades</t>
  </si>
  <si>
    <t>Lengua, 11 oz, 22 unidades</t>
  </si>
  <si>
    <t>Semita alta de piña, 17 oz, 8 unidades</t>
  </si>
  <si>
    <t>Margarita Blanca, 10 oz, 26 unidades</t>
  </si>
  <si>
    <t>Polvoron punto rojo, 11 oz, 22 unidades</t>
  </si>
  <si>
    <t>Polvoron de coco, 11 oz, 20 unidades</t>
  </si>
  <si>
    <t>Rosquete, 10 oz, 16 unidades</t>
  </si>
  <si>
    <t>Semita de Piña, 4 PK, 14 oz.</t>
  </si>
  <si>
    <t>SANTA EDUVIGES</t>
  </si>
  <si>
    <t>Peperecha, 13.3 oz, 1 caja/14</t>
  </si>
  <si>
    <t>Rosquilla, Mix pequeña, 227 g, 12 unidades por caja</t>
  </si>
  <si>
    <t>Semita de arroz, 13 oz, 12 unidades por caja</t>
  </si>
  <si>
    <t>Semita de borde, 11 oz, 12 unidades por caja</t>
  </si>
  <si>
    <t>Rosquilla Olanchano, 9 oz, 10 unidades por caja</t>
  </si>
  <si>
    <t>Semita larga, 11 oz, 10 unidades por caja</t>
  </si>
  <si>
    <t>Corn rosquilla, Mix familiar, 18 oz</t>
  </si>
  <si>
    <t>Rosquilla pequeña, 8 oz, 10 unidades</t>
  </si>
  <si>
    <t>Tustaca 12/170 g (6 oz)</t>
  </si>
  <si>
    <t>Bizcocho, 7.67 oz, 10 unidades por caja</t>
  </si>
  <si>
    <t>SUPER DELI-PAN</t>
  </si>
  <si>
    <t>Polvorón regular, 19.4 oz, 9 unidades por caja</t>
  </si>
  <si>
    <t>Butter Kiss Cookies 218 g (8 oz)</t>
  </si>
  <si>
    <t>Galleta enmantecada 365 g (13 oz), 12 unidades</t>
  </si>
  <si>
    <t>Long sweet cracker  218 g (8 oz)</t>
  </si>
  <si>
    <t>Polvorones, 12/425 g (15 oz)</t>
  </si>
  <si>
    <t>TIO DOLMO</t>
  </si>
  <si>
    <t>Tustacas, 12/453 g (16 oz)</t>
  </si>
  <si>
    <t>Pan de yema, 4.9 oz, 15 unidades</t>
  </si>
  <si>
    <t>TABORA</t>
  </si>
  <si>
    <t>Rosquilla familiar, 10.6 oz, 8 unidades</t>
  </si>
  <si>
    <t>Semita de yema, 7 oz, 15 unidades</t>
  </si>
  <si>
    <t>Mix rosquillas y hojaldras, 11.2 oz, 9 unidades</t>
  </si>
  <si>
    <t>Polvoron Punto Rojo, 15.5 oz, 11 unidades</t>
  </si>
  <si>
    <t>Semita Ostra, 15.5 oz, 6 unidades</t>
  </si>
  <si>
    <t>Galletas Margaritas, 15.5 oz, 10 unidades</t>
  </si>
  <si>
    <t>Rosquilla grande Tubular, 2.54 oz, 15 unidades</t>
  </si>
  <si>
    <t>Semita Larga Danli, 15 oz, 8 unidades</t>
  </si>
  <si>
    <t>Bizcochitos de Coco, 5.6 oz, 15 unidades</t>
  </si>
  <si>
    <t>Palitos de queso, 2.1 oz, 20 unidades</t>
  </si>
  <si>
    <t>Palitos de ajo, 2.1 oz, 20 unidades</t>
  </si>
  <si>
    <t>Polvoron azucarado rojo, 15.5, 7 unidades</t>
  </si>
  <si>
    <t>Hojaldra grande, 4.23 oz, 17 unidades</t>
  </si>
  <si>
    <t>Lenguitas, 4.5 oz, 15 unidades</t>
  </si>
  <si>
    <t>Hojitas Picsy, 9 oz, 24 unidades</t>
  </si>
  <si>
    <t>PAN GENESIS</t>
  </si>
  <si>
    <t>Hojita de otoño, 78 oz, 28 unidades</t>
  </si>
  <si>
    <t>Galleta diamante Rosa, 9 oz, 27 unidades</t>
  </si>
  <si>
    <t>Galleta corazón mixto, 9 oz, 24 unidades</t>
  </si>
  <si>
    <t>Galleta coco, 10 oz, 24 unidades</t>
  </si>
  <si>
    <t>Galleta almendra, 32 oz, 31 unidades</t>
  </si>
  <si>
    <t>Galleta Carita, 10 oz, 24 unidades</t>
  </si>
  <si>
    <t>Galleta mix, 340 g, 12 unidades</t>
  </si>
  <si>
    <t>SANSIVAR</t>
  </si>
  <si>
    <t>Semita, 340 g, 12 unidades</t>
  </si>
  <si>
    <t>Alborotos de café, 4 unidades por bolsa, 16 bolsas por caja</t>
  </si>
  <si>
    <t>LAS DELICIAS</t>
  </si>
  <si>
    <t>Rosca Chapina de panela, 10/384 g (13.54 oz)</t>
  </si>
  <si>
    <t>Alboroto caramel pop 503, 12/28 g (1 oz), 6 unidades por paquete</t>
  </si>
  <si>
    <t>Frijoles Negros Volteados, Lata 24/425 g (15 oz)</t>
  </si>
  <si>
    <t>GRANOS BASICOS Y CONDIMENTOS</t>
  </si>
  <si>
    <t>Frijol</t>
  </si>
  <si>
    <t>Frijoles Rojos Volteados, Lata 24/425 g (15 oz)</t>
  </si>
  <si>
    <t>Frijoles Negros Volteados, Lata 12/822 g (29 oz)</t>
  </si>
  <si>
    <t>Frijoles Rojos Volteados, Lata 12/822 g (29 oz)</t>
  </si>
  <si>
    <t>Frijoles Negros Volteados, DayPack 18/400 g (14.1 oz)</t>
  </si>
  <si>
    <t>Frijoles Rojos Volteados, DayPack 18/400 g (14.1 oz)</t>
  </si>
  <si>
    <t>Frijoles Negros Volteados, 28 oz</t>
  </si>
  <si>
    <t>Frijoles Rojos Volteados, 28 oz</t>
  </si>
  <si>
    <t>Frijol piloy rojo 12/908 g (32 oz)</t>
  </si>
  <si>
    <t>DE MI PUEBLO</t>
  </si>
  <si>
    <t>Frijoles Volteados Rojos,  400 g, 24 unidades por caja</t>
  </si>
  <si>
    <t>NATURA'S</t>
  </si>
  <si>
    <t>Frijoles Volteados, Negros 400 g, 24 unidades por caja</t>
  </si>
  <si>
    <t>Frijoles Volteados Rojos, 750 g, 12 unidades por caja</t>
  </si>
  <si>
    <t>Frijoles Volteados Negros, 750 g, 12 unidades por caja</t>
  </si>
  <si>
    <t>Frijol de seda, Presentación saco 50 Lbs.</t>
  </si>
  <si>
    <t>WORLD</t>
  </si>
  <si>
    <t>Frijol de seda, presentación 50 Lbs.</t>
  </si>
  <si>
    <t>Frijol Negro, Presentación 16 oz, 24 unidades</t>
  </si>
  <si>
    <t>Frijol Rojo de Seda, 32 oz, 12 unidades</t>
  </si>
  <si>
    <t>Frijol Rojo de Seda, 4 lbs, 6 unidades</t>
  </si>
  <si>
    <t>Frijol Rojo de Seda, 16 oz, 24 unidades</t>
  </si>
  <si>
    <t>Relajo mix 18/114 g (4 oz)</t>
  </si>
  <si>
    <t>Condimento</t>
  </si>
  <si>
    <t>Pacayas, 32 oz 12 unidades por caja</t>
  </si>
  <si>
    <t>Salmuera</t>
  </si>
  <si>
    <t>Pacayas, 16 oz 24 unidades por caja</t>
  </si>
  <si>
    <t>Nances en Almíbar, 16 oz, 24 unidades por caja</t>
  </si>
  <si>
    <t>Nances en Almíbar, 32 oz, 12 unidades por caja</t>
  </si>
  <si>
    <t>Nance en Almibar, 12 unidades, 32 oz</t>
  </si>
  <si>
    <t>Flor de Izote en salmuera, 12 unidades, 32 oz</t>
  </si>
  <si>
    <t>Mango verde en salmuera, 12 unidades, 32 oz</t>
  </si>
  <si>
    <t>Pacaya en salmuera, 12 unidades, 32 oz</t>
  </si>
  <si>
    <t>Pacaya en salmuera, 24 unidades, 16 oz</t>
  </si>
  <si>
    <t>Codito, 200 g (7.1 oz), 20 unidades por caja</t>
  </si>
  <si>
    <t>INA</t>
  </si>
  <si>
    <t>Pasta</t>
  </si>
  <si>
    <t>Caracolito, 200 g (7.1 oz), 20 unidades por caja</t>
  </si>
  <si>
    <t>Codo, 200 g (7.1 oz), 20 unidades por caja</t>
  </si>
  <si>
    <t>Corbatón, 150 g (5.3 oz), 20 unidades por caja</t>
  </si>
  <si>
    <t>Entrefino, 150 g (5.3 oz), 30 unidades por caja</t>
  </si>
  <si>
    <t>Caracol, 200 g (5.3 oz), 20 unidades por caja</t>
  </si>
  <si>
    <t>Tornillo, 200 g (7.1 oz), 20 unidades por caja</t>
  </si>
  <si>
    <t>Chao Mein, 180 g (6.3 oz), 20 unidades por caja</t>
  </si>
  <si>
    <t>Espagueti, 200 g (7oz), 20 unidades por caja</t>
  </si>
  <si>
    <t>Linguini, 200 g (7 oz), 20 unidades por caja</t>
  </si>
  <si>
    <t>Macarrón, 200 g (7 oz), 20 unidades por caja</t>
  </si>
  <si>
    <t>Salsa Inglesa, 142 g (5 oz), 24 unidades por caja</t>
  </si>
  <si>
    <t>Salsa</t>
  </si>
  <si>
    <t>Salsa de Soya, 142 g (5 oz), 24 unidades por caja</t>
  </si>
  <si>
    <t>Chao Mein, 340 g (12 oz), 12 unidades por caja</t>
  </si>
  <si>
    <t>CANTONESA</t>
  </si>
  <si>
    <t>Chaw mein con soya, 200 g, 25 unidades por caja</t>
  </si>
  <si>
    <t>EL AUTENTICO</t>
  </si>
  <si>
    <t>Arroz empacado, 2 lbs, 12 unidades por caja</t>
  </si>
  <si>
    <t>SAN FRANCISCO</t>
  </si>
  <si>
    <t>Arroz</t>
  </si>
  <si>
    <t>Arroz empacado, 5 lbs, 12 unidades por caja</t>
  </si>
  <si>
    <t>Arroz empacado, 1 lb, 30 unidades por caja</t>
  </si>
  <si>
    <t>Arroz precocido empacado, 1 lb, 25 unidades por caja</t>
  </si>
  <si>
    <t>GALLO DORADO</t>
  </si>
  <si>
    <t>Arroz precocido empacado, 5 lbs, 5 unidades por caja</t>
  </si>
  <si>
    <t>Harina de Haba, 425 g, 23 unidades por caja</t>
  </si>
  <si>
    <t>SAN ENRIQUE</t>
  </si>
  <si>
    <t>Harina</t>
  </si>
  <si>
    <t>Harina de Pinol, 425 g, 23 unidades por caja</t>
  </si>
  <si>
    <t>Atol corazón de trigo, 400 g, 25 unidades por caja</t>
  </si>
  <si>
    <t>CORAZON DE TRIGO</t>
  </si>
  <si>
    <t>Atol</t>
  </si>
  <si>
    <t>Avena Molida, 310 g, 24 unidades por caja</t>
  </si>
  <si>
    <t>QUAKER</t>
  </si>
  <si>
    <t>Avena</t>
  </si>
  <si>
    <t>Avena Entera, 360 g, 24 unidades por caja</t>
  </si>
  <si>
    <t>Atol Incaparina 450 g, 12 unidades por caja</t>
  </si>
  <si>
    <t>INCAPARINA</t>
  </si>
  <si>
    <t>Harina fácil para tortillas 1.81 Kg, 4 lbs.</t>
  </si>
  <si>
    <t>LA ROSA</t>
  </si>
  <si>
    <t>Café Instantáneo, 100 g (3.5 oz), 12 unidades por caja</t>
  </si>
  <si>
    <t>CAFÉ LISTO</t>
  </si>
  <si>
    <t>Café</t>
  </si>
  <si>
    <t>Café Instantáneo, 200 g (7 oz), 12 unidades por caja</t>
  </si>
  <si>
    <t>Café Instantáneo, 50 g (1.5 oz), 12 unidades por caja</t>
  </si>
  <si>
    <t>Café Instantáneo, 100 g, 24 unidades por caja</t>
  </si>
  <si>
    <t>INCASA</t>
  </si>
  <si>
    <t>Café Instantáneo, 50 g, 24 unidades por caja</t>
  </si>
  <si>
    <t>Café Instantáneo, 150 g, 12 unidades por caja</t>
  </si>
  <si>
    <t>Café Instantáneo, 200 g, 12 unidades por caja</t>
  </si>
  <si>
    <t>Café Instantáneo, 250 g, 12 unidades por caja</t>
  </si>
  <si>
    <t>Café soluble frascos de vidrio, 50g, 24 unidades por caja</t>
  </si>
  <si>
    <t>CAFÉ QUETZAL</t>
  </si>
  <si>
    <t>Café soluble frascos de vidrio, 100g, 24 unidades por caja</t>
  </si>
  <si>
    <t>Café soluble frascos de vidrio, 200g, 24 unidades por caja</t>
  </si>
  <si>
    <t>Café molido, 210 g (7.4 oz), 24 unidades por caja</t>
  </si>
  <si>
    <t>Café molido, 16 oz</t>
  </si>
  <si>
    <t>CAFÉ ORO</t>
  </si>
  <si>
    <t>Café molido, 8 oz, 226.8 g</t>
  </si>
  <si>
    <t>CAFÉ EL INDIO</t>
  </si>
  <si>
    <t>Café instantáneo, 8 g (0.3 oz), Paquete de 50 unidades, 12 paquetes por fardo completo</t>
  </si>
  <si>
    <t>LA JARRILLITA</t>
  </si>
  <si>
    <t>Sal de cebolla, 12 por tira, 50 tiras por caja</t>
  </si>
  <si>
    <t>MALHER</t>
  </si>
  <si>
    <t>Suavirico, 12 por tira, 50 tiras por caja</t>
  </si>
  <si>
    <t>Ablandador y sazonador, 12 por tira, 50 tiras por caja</t>
  </si>
  <si>
    <t>Sopa sabor a pollo con fideos, 12 por tira, 25 tiras por caja</t>
  </si>
  <si>
    <t>Sazonador, 12 por tira, 50 tiras por caja</t>
  </si>
  <si>
    <t>Consomé de Tomate con res, 12 unidades por tira, 40 tiras por caja</t>
  </si>
  <si>
    <t>Consomé</t>
  </si>
  <si>
    <t>Consomé de pollo, 12 unidades por tira, 40 tiras por caja</t>
  </si>
  <si>
    <t>Consomé de camarón, 12 unidades por tira, 40 tiras por caja</t>
  </si>
  <si>
    <t>Consomé de camarón, presentación 200 g, 12 unidades por tira, 40 tiras por caja</t>
  </si>
  <si>
    <t>Sazonador, presentación 250 g, 24 unidades por caja</t>
  </si>
  <si>
    <t>Consomé de res, 454 g, 24 unidades por caja</t>
  </si>
  <si>
    <t>Consomé de res, 200 g, 24 unidades por caja</t>
  </si>
  <si>
    <t>Pimienta negra, 60 g, 18 unidades por caja</t>
  </si>
  <si>
    <t>Consomé pollo en bote, 908 g (32 oz), 12 unidades por caja</t>
  </si>
  <si>
    <t>Consomé pollo en bote, 454 g (16 oz), 24 unidades por caja</t>
  </si>
  <si>
    <t>Consomé pollo en bote, 227 g (8 oz), 24 unidades por caja</t>
  </si>
  <si>
    <t>Sazonador, 454 g, 24 unidades por caja</t>
  </si>
  <si>
    <t>Consomé de tomate con res, 908 g, 12 unidades por caja</t>
  </si>
  <si>
    <t>Ablandador y sazonador, 250 g, 24 unidades por caja</t>
  </si>
  <si>
    <t>Sal de ajo, 110 g, 18 unidades por caja</t>
  </si>
  <si>
    <t>Sal de cebolla, 110 g, 18 unidades por caja</t>
  </si>
  <si>
    <t>Sazonador, 110 g, 18 unidades por caja</t>
  </si>
  <si>
    <t>Frijoles rojos volteados lata, 27  oz, 12 unidades por caja</t>
  </si>
  <si>
    <t>Frijol negro lata 15 oz, 24 unidades por caja</t>
  </si>
  <si>
    <t>Jocón, 74 g, 16 unidades por display, 3 display por caja</t>
  </si>
  <si>
    <t>Preparados</t>
  </si>
  <si>
    <t>Pepián, 74 g, 16 unidades por display, 3 display por caja</t>
  </si>
  <si>
    <t>Hilachas, 40 g, 24 unidades por display, 2 display por caja</t>
  </si>
  <si>
    <t>Carne guisada, 40 g, 24 unidades por display, 2 display por caja</t>
  </si>
  <si>
    <t>Sopa pollo con fideos, 60 g, 12 unidades por display, 4 display por caja</t>
  </si>
  <si>
    <t>Cocido de res, 40 g, 12 unidades por caja, 6 display por caja</t>
  </si>
  <si>
    <t>Gallina de patio, 40 g, 12 unidades por caja, 6 display por caja</t>
  </si>
  <si>
    <t>MAGGI</t>
  </si>
  <si>
    <t>Sopa</t>
  </si>
  <si>
    <t>Sopa criolla gallina india, 60 g, 12 unidades por caja</t>
  </si>
  <si>
    <t>Sopa criolla gallina con arroz y chipilin, 60 g, 12 unidades por caja</t>
  </si>
  <si>
    <t>Sopa de cola de res, 76 g, 12 unidades por caja</t>
  </si>
  <si>
    <t>Sopa sabor a pollo con fideos, 57 g, 12 unidades por caja</t>
  </si>
  <si>
    <t>Sopa sabor a res con fideos, 60 g, 12 unidades por caja</t>
  </si>
  <si>
    <t>Sopa criolla costilla, 60 g, 12 unidades por caja</t>
  </si>
  <si>
    <t>Crema de mariscos, 80 g, 12 unidades por caja</t>
  </si>
  <si>
    <t>Salsa Ranchera, 200 g, 24 unidades</t>
  </si>
  <si>
    <t>Salsas</t>
  </si>
  <si>
    <t>Salsa con Queso, 200 g, 24 unidades</t>
  </si>
  <si>
    <t>Salsa Sofrito Criollo, 200 g, 24 unidades</t>
  </si>
  <si>
    <t>Pasta de tomate, 200 g, 24 unidades</t>
  </si>
  <si>
    <t>Sopa instantánea Camarón, 75 g (2.65 oz), 12 unidades</t>
  </si>
  <si>
    <t>LAKY MEN</t>
  </si>
  <si>
    <t>Sopas</t>
  </si>
  <si>
    <t>Sopa instantánea Res, 75 g (2.65 oz), 12 unidades</t>
  </si>
  <si>
    <t>Sopa instantánea Gallina, 75 g (2.65 oz), 12 unidades</t>
  </si>
  <si>
    <t>Sopa instantánea Mariscos, 75 g (2.65 oz), 12 unidades</t>
  </si>
  <si>
    <t>Sopa instantánea Pollo, 75 g (2.65 oz), 12 unidades</t>
  </si>
  <si>
    <t>Sopa instantánea Jaiba, 75 g (2.65 oz), 12 unidades</t>
  </si>
  <si>
    <t>Sopa instantánea Camarón picante, 75 g (2.65 oz), 12 unidades</t>
  </si>
  <si>
    <t>Sardina en salsa de tomate, Lata, 425 g (15 oz), 24 unidades</t>
  </si>
  <si>
    <t>LA SIRENA</t>
  </si>
  <si>
    <t>Sardina</t>
  </si>
  <si>
    <t>Sardina pica pica, Lata, 425 g (15 oz), 24 unidades</t>
  </si>
  <si>
    <t>Sardina en salsa de tomate, Lata, 155 g (5.5 oz), 25 unidades</t>
  </si>
  <si>
    <t>Sardina pica pica, Lata, 155 g (5.5 oz), 25 unidades</t>
  </si>
  <si>
    <t>Salsa Ketchup 14 oz, 18 unidades por caja</t>
  </si>
  <si>
    <t>CAMPERO</t>
  </si>
  <si>
    <t>Salsa picante 3 oz, 72 unidades por caja</t>
  </si>
  <si>
    <t>Salsa Mostaza 370 g, 14 unidades por caja</t>
  </si>
  <si>
    <t>Mayonesa 400 g, 24 unidades por caja</t>
  </si>
  <si>
    <t>Salsa picante Olancho, botella 4.5 oz, 24 unidades</t>
  </si>
  <si>
    <t>JUTIQUILE</t>
  </si>
  <si>
    <t>Salsa picante Olancho, botella16.2 OZ, 12 unidades</t>
  </si>
  <si>
    <t>Salsa picante, botella 16.9 oz, 12 unidades</t>
  </si>
  <si>
    <t>D'OLANCHO</t>
  </si>
  <si>
    <t>Salsa picante, botella 4.5 oz, 16 unidades</t>
  </si>
  <si>
    <t>Salsa picante, bolsa 16 oz, 32 unidades por caja</t>
  </si>
  <si>
    <t>PICAMÁS</t>
  </si>
  <si>
    <t>Salsa picante, botella 16.6 oz, 490 ml, 24 unidades por caja</t>
  </si>
  <si>
    <t>Salsa inglesa, 12 oz, 355 ml</t>
  </si>
  <si>
    <t>LA PIKINA</t>
  </si>
  <si>
    <t>Salsa de soya, 12 oz, 355 ml</t>
  </si>
  <si>
    <t>Relajo 8.5 g, 18 bolsas</t>
  </si>
  <si>
    <t>Chile Cobanero en grano, 12/42 g (1.5 oz), 8 por caja completa</t>
  </si>
  <si>
    <t>Semilla</t>
  </si>
  <si>
    <t>Haba frita con sal, 12/70 g (2.5 oz), 8 por caja completa</t>
  </si>
  <si>
    <t>Haba tostada, 12/70 g (2.5 oz), 8 por caja completa</t>
  </si>
  <si>
    <t>Marmahon legítimo Nassar, 410 gr, 14 oz, 24 bolsas por caja</t>
  </si>
  <si>
    <t>NASSAR</t>
  </si>
  <si>
    <t>Mayonesa, Bolsa 16 oz, 32 unidades por caja</t>
  </si>
  <si>
    <t>B&amp;B</t>
  </si>
  <si>
    <t>Mayonesa</t>
  </si>
  <si>
    <t>Ketchup, Bolsa 16 oz, 32 unidades por caja</t>
  </si>
  <si>
    <t>Ketchup</t>
  </si>
  <si>
    <t>Jalapeños</t>
  </si>
  <si>
    <t>Mayonesa, 14.54 fl oz (430 ml), 24 unidades por caja</t>
  </si>
  <si>
    <t>ANA BELLY</t>
  </si>
  <si>
    <t>Mostaza 3500 gr, 24 unidades por caja</t>
  </si>
  <si>
    <t>Mostaza</t>
  </si>
  <si>
    <t>Salsa Jalisco, 5 oz, 24 unidades por caja</t>
  </si>
  <si>
    <t>MCCORMICK</t>
  </si>
  <si>
    <t>Salsa Inglesa 5 oz, 24 unidades por caja</t>
  </si>
  <si>
    <t>Salsa Jalisco 10 oz, 12 unidades por caja</t>
  </si>
  <si>
    <t>Salsa Inglesa 10 oz, 12 unidades por caja</t>
  </si>
  <si>
    <t>Salsa condimentada, 23.66 oz, 12 unidades por caja</t>
  </si>
  <si>
    <t>LIZANO</t>
  </si>
  <si>
    <t>Concentrado</t>
  </si>
  <si>
    <t>Chocolate, 300 g, 100 unidades por caja</t>
  </si>
  <si>
    <t>DOÑA ANDREA</t>
  </si>
  <si>
    <t>Palitos para chocobanano, bolsa 150 unidades, 36 bolsas por caja</t>
  </si>
  <si>
    <t>CASTOR</t>
  </si>
  <si>
    <t>Palitos</t>
  </si>
  <si>
    <t>Chocolate para chocobanano, 400 g, 24 bolsas por caja</t>
  </si>
  <si>
    <t>Chocolate para chocobanano, 300 g, 30 bolsas por caja</t>
  </si>
  <si>
    <t>Chocolate Tradicional, 375 g, 24 unidades</t>
  </si>
  <si>
    <t>CHOCOMELHER</t>
  </si>
  <si>
    <t>Chocolate Fresa, 375 g, 24 unidades</t>
  </si>
  <si>
    <t>Chocolate Maní, 375 g, 24 unidades</t>
  </si>
  <si>
    <t>Palitos para chocobanano, 36 bolsas por caja</t>
  </si>
  <si>
    <t>MELHER</t>
  </si>
  <si>
    <t>Choco Panda, Bote 400 g, 24 unidades por caja</t>
  </si>
  <si>
    <t>CHOCO PANDA</t>
  </si>
  <si>
    <t>Choco Panda, Doy Pack 200 g, 24 unidades por caja</t>
  </si>
  <si>
    <t>Corona Hot Chocolate, cinnamon flavor, 437 g, 12 unidades</t>
  </si>
  <si>
    <t>CORONA</t>
  </si>
  <si>
    <t>Bijol, 56 g, 24 unidades por caja</t>
  </si>
  <si>
    <t>BIJOL</t>
  </si>
  <si>
    <t>Empanizador, 100 g, 24 unidades por caja</t>
  </si>
  <si>
    <t>SAM</t>
  </si>
  <si>
    <t>Empanizador</t>
  </si>
  <si>
    <t>YA ESTÁ</t>
  </si>
  <si>
    <t>Refresco en polvo, Tiras de 24 unidades, 25 tiras por caja</t>
  </si>
  <si>
    <t>TOKI</t>
  </si>
  <si>
    <t>Refresco</t>
  </si>
  <si>
    <t>Jabones 110 g, 12 unidades por paquetes, 8 paquetes por caja</t>
  </si>
  <si>
    <t>PROTEX</t>
  </si>
  <si>
    <t>Jabón</t>
  </si>
  <si>
    <t>Jabón en barra, 400 g, 20 unidades por caja</t>
  </si>
  <si>
    <t>DOÑA BLANCA</t>
  </si>
  <si>
    <t>Jabón en barra, 170 g, 36 unidades por caja</t>
  </si>
  <si>
    <t>Pasta de jabón, limón, 235 g, 48 unidades por caja</t>
  </si>
  <si>
    <t>AXION</t>
  </si>
  <si>
    <t>Pasta de jabón, limón, 425 g, 24 unidades por caja</t>
  </si>
  <si>
    <t>Lavaplatos Axión limón, original, 30 oz</t>
  </si>
  <si>
    <t>Ambar Floral bola, 1140 g, 4 unidades</t>
  </si>
  <si>
    <t>AMBAR</t>
  </si>
  <si>
    <t>Jabón multiusos, 400 g, 20 unidades</t>
  </si>
  <si>
    <t>POTENSOL</t>
  </si>
  <si>
    <t>Jabón de Coche, 12 unidades</t>
  </si>
  <si>
    <t>Dolo Neurobión, 30 Tabletas</t>
  </si>
  <si>
    <t>DOLO NEUROBION</t>
  </si>
  <si>
    <t>MEDICINA</t>
  </si>
  <si>
    <t>Medicina</t>
  </si>
  <si>
    <t>Dolo Neurobión, 50 pouches</t>
  </si>
  <si>
    <t>DOLO NEUROBION EXTRA</t>
  </si>
  <si>
    <t>Neuro Campolon Energy, 12 pouches</t>
  </si>
  <si>
    <t>NEURO CAMPOLON ENERGY</t>
  </si>
  <si>
    <t>Nervi Doce, 12 pouches</t>
  </si>
  <si>
    <t>NERVI DOCE</t>
  </si>
  <si>
    <t>Neurobión Plus,10 viales</t>
  </si>
  <si>
    <t>NEUROBION</t>
  </si>
  <si>
    <t>Neurobión B12 Complex, 16 oz</t>
  </si>
  <si>
    <t>Nerubión Energy, 10 viales</t>
  </si>
  <si>
    <t>Nerubión Energy, 60 Caps</t>
  </si>
  <si>
    <t>Nerubión Inmune,10 viales</t>
  </si>
  <si>
    <t>Neurofosfaton 15 ML,10 viales</t>
  </si>
  <si>
    <t>Sukrol Regular, 100 Cápsulas</t>
  </si>
  <si>
    <t>SUKROL</t>
  </si>
  <si>
    <t>Sukrol Vigor Mujer, 30 Cápsulas</t>
  </si>
  <si>
    <t>Sukrolito Cherry, Jarabe 8 fl oz (240 ml)</t>
  </si>
  <si>
    <t>Sukrolito Manzana, Jarabe 8 fl oz (240 ml)</t>
  </si>
  <si>
    <t>Sukrol Vigor Hombre, 30 Cápsulas</t>
  </si>
  <si>
    <t>SUKROL Liqui-shot, 10 viales</t>
  </si>
  <si>
    <t>SUKROL VIGOR Liqui-shot, 10 viales</t>
  </si>
  <si>
    <t>Vital Fuerte Fresa, Jarabe 9.03 fl oz (267 ml)</t>
  </si>
  <si>
    <t>VITAL FUERTE</t>
  </si>
  <si>
    <t>Vital Fuerte H3, 30 cápsulas</t>
  </si>
  <si>
    <t>Vital Fuerte H3, 100 cápsulas</t>
  </si>
  <si>
    <t>Vital Fuerte, 30 cápsulas</t>
  </si>
  <si>
    <t>Vital Fuerte, 100 cápsulas</t>
  </si>
  <si>
    <t>Vital Liquid shot, 10 ampollas de 0.3 fl (10 ml)</t>
  </si>
  <si>
    <t>Rábano Yodado, Jarabe 8 oz</t>
  </si>
  <si>
    <t>RABANO YODADO</t>
  </si>
  <si>
    <t>Bacaolina, Jarabe 8 oz</t>
  </si>
  <si>
    <t>BACAOLINA</t>
  </si>
  <si>
    <t>Bacaolinita, Jarabe 240 ml</t>
  </si>
  <si>
    <t>BACAOLINITA</t>
  </si>
  <si>
    <t>Ultra Doceplex,12 sobres (10 ml)</t>
  </si>
  <si>
    <t>ULTRA DOCEPLEX</t>
  </si>
  <si>
    <t>Antigripal, 4 oz</t>
  </si>
  <si>
    <t>BACZOL</t>
  </si>
  <si>
    <t>Expectorante, 4 oz</t>
  </si>
  <si>
    <t>Foskrol B-Complex, 10 vials</t>
  </si>
  <si>
    <t>FOSKROL</t>
  </si>
  <si>
    <t>Foskrol B-Complex, 15 vials</t>
  </si>
  <si>
    <t>Foskrol B-Complex, 20 vials</t>
  </si>
  <si>
    <t>Foskrol Energy, 15 vials, 15 ml</t>
  </si>
  <si>
    <t>Foskrol De-Stressing, 10 vials, 15 ml</t>
  </si>
  <si>
    <t>Foskrol Escolar, 10 viales</t>
  </si>
  <si>
    <t>Pulmo calcio, Jarabe 4 oz</t>
  </si>
  <si>
    <t>PULMO CALCIO</t>
  </si>
  <si>
    <t>Tricalcio, 10 vials</t>
  </si>
  <si>
    <t>TRICALCIO</t>
  </si>
  <si>
    <t>Ultra Foskrol, 10 vials, 15 ml</t>
  </si>
  <si>
    <t>ULTRA FOSKROL</t>
  </si>
  <si>
    <t>Estropajo, 50 gramos, 12 unidades por caja</t>
  </si>
  <si>
    <t>ESTROPAJO</t>
  </si>
  <si>
    <t>Estropajo</t>
  </si>
  <si>
    <t>Colonia, 200 ml</t>
  </si>
  <si>
    <t>MENNEN</t>
  </si>
  <si>
    <t>Colonia</t>
  </si>
  <si>
    <t>Loroco, 30/6 oz</t>
  </si>
  <si>
    <t>CONGELADOS</t>
  </si>
  <si>
    <t>Congelados</t>
  </si>
  <si>
    <t>Mango ciruela, 24/15 oz</t>
  </si>
  <si>
    <t>Jocote Corona, 24/14 oz</t>
  </si>
  <si>
    <t>Yuca congelada, 27/14 oz</t>
  </si>
  <si>
    <t>Yuca congelada, 6/5 lbs</t>
  </si>
  <si>
    <t>Jocote rojo, 25/14 oz</t>
  </si>
  <si>
    <t>Marañón, 12/397 g (14 oz)</t>
  </si>
  <si>
    <t>Marañón, (14 oz), 25 unidades</t>
  </si>
  <si>
    <t>Nance, 14 oz, 25 unidades</t>
  </si>
  <si>
    <t>Flor de pito, (7 oz), 30 unidades</t>
  </si>
  <si>
    <t>Medallones de pollo, 20 unidades, 400 g</t>
  </si>
  <si>
    <t>POLLO INDIO</t>
  </si>
  <si>
    <t>Alitas picantes, 230 g</t>
  </si>
  <si>
    <t>Alitas sin hueso - Crispy, 336 g</t>
  </si>
  <si>
    <t>Alitas barbacoa, 460 g</t>
  </si>
  <si>
    <t>VMP Tamal de elote, 12/142 g (5 oz), 6 unidades por paquete</t>
  </si>
  <si>
    <t>VMP Tamal de chipilín con queso, 12/170 g (6 oz), 4 unidades por paquete</t>
  </si>
  <si>
    <t>Chirilagua Tamal de Elote, 20/30 oz, 6 unidades por paquete</t>
  </si>
  <si>
    <t>RIO GRANDE</t>
  </si>
  <si>
    <t>Tamal de Elote, 20/30 oz, 6 unidades por paquete</t>
  </si>
  <si>
    <t>Atol de Elote, 12/1361 g (48 oz)</t>
  </si>
  <si>
    <t>Pupusa con queso, 12/96 g (3.4 oz), 5 unidades por paquete</t>
  </si>
  <si>
    <t>Pupusa frijol y queso, 12/96 g (3.4 oz), 5 unidades por paquete</t>
  </si>
  <si>
    <t>Hoja de mashan, 12/397 g (14 oz)</t>
  </si>
  <si>
    <t>Flor de loroco, 12/170 g (6 oz)</t>
  </si>
  <si>
    <t>Crema Salvadoreña, Bolsa 24x16 oz</t>
  </si>
  <si>
    <t>Lácteos</t>
  </si>
  <si>
    <t>Crema Hondureña, Bolsa 24x16 oz</t>
  </si>
  <si>
    <t>Crema Guatemalteca, Bolsa 24x16 oz</t>
  </si>
  <si>
    <t>Crema Salvadoreña, Cubeta 32 Lbs</t>
  </si>
  <si>
    <t>Crema Centroamericana, Cubeta 32 Lbs</t>
  </si>
  <si>
    <t>Queso Los Altos, Cubeta 21 Lbs</t>
  </si>
  <si>
    <t>Imagen</t>
  </si>
  <si>
    <t>SKU</t>
  </si>
  <si>
    <t>PL-DEL_-0001</t>
  </si>
  <si>
    <t>PL-DEL_-0002</t>
  </si>
  <si>
    <t>PL-DEL_-0003</t>
  </si>
  <si>
    <t>PL-DEL_-0004</t>
  </si>
  <si>
    <t>PL-DEL_-0005</t>
  </si>
  <si>
    <t>PL-DEL_-0006</t>
  </si>
  <si>
    <t>PL-DEL_-0007</t>
  </si>
  <si>
    <t>PL-DEL_-0008</t>
  </si>
  <si>
    <t>PL-DEL_-0009</t>
  </si>
  <si>
    <t>PL-DEL_-0010</t>
  </si>
  <si>
    <t>PL-DEL_-0011</t>
  </si>
  <si>
    <t>PL-DEL_-0012</t>
  </si>
  <si>
    <t>PL-DEL_-0013</t>
  </si>
  <si>
    <t>PL-DEL_-0014</t>
  </si>
  <si>
    <t>PL-DEL_-0015</t>
  </si>
  <si>
    <t>PL-DEL_-0016</t>
  </si>
  <si>
    <t>PL-DEL_-0017</t>
  </si>
  <si>
    <t>PL-DEL_-0018</t>
  </si>
  <si>
    <t>PL-DEL_-0019</t>
  </si>
  <si>
    <t>PL-DEL_-0020</t>
  </si>
  <si>
    <t>PL-DEL_-0021</t>
  </si>
  <si>
    <t>PL-DEL_-0022</t>
  </si>
  <si>
    <t>PL-DEL_-0023</t>
  </si>
  <si>
    <t>PL-DEL_-0024</t>
  </si>
  <si>
    <t>PL-DEL_-0025</t>
  </si>
  <si>
    <t>PL-DEL_-0026</t>
  </si>
  <si>
    <t>PL-DEL_-0027</t>
  </si>
  <si>
    <t>PL-DEL_-0028</t>
  </si>
  <si>
    <t>PL-DEL_-0029</t>
  </si>
  <si>
    <t>PL-DEL_-0030</t>
  </si>
  <si>
    <t>PL-DEL_-0031</t>
  </si>
  <si>
    <t>PL-DEL_-0032</t>
  </si>
  <si>
    <t>PL-DEL_-0033</t>
  </si>
  <si>
    <t>PL-DEL_-0034</t>
  </si>
  <si>
    <t>PL-DEL_-0035</t>
  </si>
  <si>
    <t>PL-DEL_-0036</t>
  </si>
  <si>
    <t>PL-DEL_-0037</t>
  </si>
  <si>
    <t>PL-DEL_-0038</t>
  </si>
  <si>
    <t>PL-DEL_-0039</t>
  </si>
  <si>
    <t>PL-DEL_-0040</t>
  </si>
  <si>
    <t>PL-DEL_-0041</t>
  </si>
  <si>
    <t>PL-DEL_-0042</t>
  </si>
  <si>
    <t>PL-DEL_-0043</t>
  </si>
  <si>
    <t>PL-DEL_-0044</t>
  </si>
  <si>
    <t>PL-DEL_-0045</t>
  </si>
  <si>
    <t>PL-DEL_-0046</t>
  </si>
  <si>
    <t>PL-DEL_-0047</t>
  </si>
  <si>
    <t>PL-DEL_-0048</t>
  </si>
  <si>
    <t>PL-DEL_-0049</t>
  </si>
  <si>
    <t>PL-DEL_-0050</t>
  </si>
  <si>
    <t>PL-DEL_-0051</t>
  </si>
  <si>
    <t>PL-DEL_-0052</t>
  </si>
  <si>
    <t>PL-DEL_-0053</t>
  </si>
  <si>
    <t>PL-DEL_-0054</t>
  </si>
  <si>
    <t>PL-DEL_-0055</t>
  </si>
  <si>
    <t>PL-DEL_-0056</t>
  </si>
  <si>
    <t>PL-DEL_-0057</t>
  </si>
  <si>
    <t>PL-DEL_-0058</t>
  </si>
  <si>
    <t>PL-DEL_-0059</t>
  </si>
  <si>
    <t>PL-DEL_-0060</t>
  </si>
  <si>
    <t>PL-DEL_-0061</t>
  </si>
  <si>
    <t>PL-DEL_-0062</t>
  </si>
  <si>
    <t>PL-DEL_-0063</t>
  </si>
  <si>
    <t>PL-DEL_-0064</t>
  </si>
  <si>
    <t>PL-DEL_-0065</t>
  </si>
  <si>
    <t>PL-DEL_-0066</t>
  </si>
  <si>
    <t>PL-DEL_-0067</t>
  </si>
  <si>
    <t>PL-DEL_-0068</t>
  </si>
  <si>
    <t>PL-DEL_-0069</t>
  </si>
  <si>
    <t>PL-DEL_-0070</t>
  </si>
  <si>
    <t>PL-DEL_-0071</t>
  </si>
  <si>
    <t>PL-DEL_-0072</t>
  </si>
  <si>
    <t>PL-DEL_-0073</t>
  </si>
  <si>
    <t>PL-DEL_-0074</t>
  </si>
  <si>
    <t>PL-DEL_-0075</t>
  </si>
  <si>
    <t>PL-DEL_-0076</t>
  </si>
  <si>
    <t>PL-DEL_-0077</t>
  </si>
  <si>
    <t>PL-DEL_-0078</t>
  </si>
  <si>
    <t>PL-DEL_-0079</t>
  </si>
  <si>
    <t>PL-DEL_-0080</t>
  </si>
  <si>
    <t>PL-DEL_-0081</t>
  </si>
  <si>
    <t>PL-DEL_-0082</t>
  </si>
  <si>
    <t>PL-DEL_-0083</t>
  </si>
  <si>
    <t>PL-DEL_-0084</t>
  </si>
  <si>
    <t>PL-DEL_-0085</t>
  </si>
  <si>
    <t>PL-DEL_-0086</t>
  </si>
  <si>
    <t>PL-DEL_-0087</t>
  </si>
  <si>
    <t>PL-DEL_-0088</t>
  </si>
  <si>
    <t>PL-DEL_-0089</t>
  </si>
  <si>
    <t>PL-DEL_-0090</t>
  </si>
  <si>
    <t>PL-DEL_-0091</t>
  </si>
  <si>
    <t>PL-DEL_-0092</t>
  </si>
  <si>
    <t>PL-DEL_-0093</t>
  </si>
  <si>
    <t>PL-DEL_-0094</t>
  </si>
  <si>
    <t>PL-DEL_-0095</t>
  </si>
  <si>
    <t>PL-DEL_-0096</t>
  </si>
  <si>
    <t>PL-DEL_-0097</t>
  </si>
  <si>
    <t>PL-DEL_-0098</t>
  </si>
  <si>
    <t>PL-DEL_-0099</t>
  </si>
  <si>
    <t>PL-DEL_-0100</t>
  </si>
  <si>
    <t>PL-DEL_-0101</t>
  </si>
  <si>
    <t>PL-DEL_-0102</t>
  </si>
  <si>
    <t>PL-DEL_-0103</t>
  </si>
  <si>
    <t>PL-DEL_-0104</t>
  </si>
  <si>
    <t>PL-DEL_-0105</t>
  </si>
  <si>
    <t>PL-DEL_-0106</t>
  </si>
  <si>
    <t>PL-DEL_-0107</t>
  </si>
  <si>
    <t>PL-DEL_-0108</t>
  </si>
  <si>
    <t>PL-DEL_-0109</t>
  </si>
  <si>
    <t>PL-DEL_-0110</t>
  </si>
  <si>
    <t>PL-DEL_-0111</t>
  </si>
  <si>
    <t>PL-DEL_-0112</t>
  </si>
  <si>
    <t>PL-DEL_-0113</t>
  </si>
  <si>
    <t>PL-DEL_-0114</t>
  </si>
  <si>
    <t>PL-DEL_-0115</t>
  </si>
  <si>
    <t>PL-DEL_-0116</t>
  </si>
  <si>
    <t>PL-DEL_-0117</t>
  </si>
  <si>
    <t>PL-DEL_-0118</t>
  </si>
  <si>
    <t>PL-DEL_-0119</t>
  </si>
  <si>
    <t>PL-DEL_-0120</t>
  </si>
  <si>
    <t>PL-DEL_-0121</t>
  </si>
  <si>
    <t>PL-DEL_-0122</t>
  </si>
  <si>
    <t>PL-DEL_-0123</t>
  </si>
  <si>
    <t>PL-DEL_-0124</t>
  </si>
  <si>
    <t>PL-DEL_-0125</t>
  </si>
  <si>
    <t>PL-DEL_-0126</t>
  </si>
  <si>
    <t>PL-DEL_-0127</t>
  </si>
  <si>
    <t>PL-DEL_-0128</t>
  </si>
  <si>
    <t>PL-DEL_-0129</t>
  </si>
  <si>
    <t>PL-DEL_-0130</t>
  </si>
  <si>
    <t>PL-DEL_-0131</t>
  </si>
  <si>
    <t>PL-DEL_-0132</t>
  </si>
  <si>
    <t>PL-DEL_-0133</t>
  </si>
  <si>
    <t>PL-DEL_-0134</t>
  </si>
  <si>
    <t>PL-DEL_-0135</t>
  </si>
  <si>
    <t>PL-DEL_-0136</t>
  </si>
  <si>
    <t>PL-DEL_-0137</t>
  </si>
  <si>
    <t>PL-DEL_-0138</t>
  </si>
  <si>
    <t>PL-DEL_-0139</t>
  </si>
  <si>
    <t>PL-DEL_-0140</t>
  </si>
  <si>
    <t>PL-DEL_-0141</t>
  </si>
  <si>
    <t>PL-DEL_-0142</t>
  </si>
  <si>
    <t>PL-DEL_-0143</t>
  </si>
  <si>
    <t>PL-DEL_-0144</t>
  </si>
  <si>
    <t>PL-DEL_-0145</t>
  </si>
  <si>
    <t>PL-DEL_-0146</t>
  </si>
  <si>
    <t>PL-DEL_-0147</t>
  </si>
  <si>
    <t>PL-DEL_-0148</t>
  </si>
  <si>
    <t>PL-DEL_-0149</t>
  </si>
  <si>
    <t>PL-DEL_-0150</t>
  </si>
  <si>
    <t>PL-DEL_-0151</t>
  </si>
  <si>
    <t>PL-DEL_-0152</t>
  </si>
  <si>
    <t>PL-DEL_-0153</t>
  </si>
  <si>
    <t>PL-DEL_-0154</t>
  </si>
  <si>
    <t>PL-DEL_-0155</t>
  </si>
  <si>
    <t>PL-DEL_-0156</t>
  </si>
  <si>
    <t>PL-DEL_-0157</t>
  </si>
  <si>
    <t>PL-DEL_-0158</t>
  </si>
  <si>
    <t>PL-DEL_-0159</t>
  </si>
  <si>
    <t>PL-DEL_-0160</t>
  </si>
  <si>
    <t>PL-DEL_-0161</t>
  </si>
  <si>
    <t>PL-DEL_-0162</t>
  </si>
  <si>
    <t>PL-DEL_-0163</t>
  </si>
  <si>
    <t>PL-DEL_-0164</t>
  </si>
  <si>
    <t>PL-DEL_-0165</t>
  </si>
  <si>
    <t>PL-DEL_-0166</t>
  </si>
  <si>
    <t>PL-DEL_-0167</t>
  </si>
  <si>
    <t>PL-DEL_-0168</t>
  </si>
  <si>
    <t>PL-DEL_-0169</t>
  </si>
  <si>
    <t>PL-DEL_-0170</t>
  </si>
  <si>
    <t>PL-DEL_-0171</t>
  </si>
  <si>
    <t>PL-DEL_-0172</t>
  </si>
  <si>
    <t>PL-DEL_-0173</t>
  </si>
  <si>
    <t>PL-DEL_-0174</t>
  </si>
  <si>
    <t>PL-DEL_-0175</t>
  </si>
  <si>
    <t>PL-DEL_-0176</t>
  </si>
  <si>
    <t>PL-DEL_-0177</t>
  </si>
  <si>
    <t>PL-DEL_-0178</t>
  </si>
  <si>
    <t>PL-DEL_-0179</t>
  </si>
  <si>
    <t>PL-DEL_-0180</t>
  </si>
  <si>
    <t>PL-DEL_-0181</t>
  </si>
  <si>
    <t>PL-DEL_-0182</t>
  </si>
  <si>
    <t>PL-DEL_-0183</t>
  </si>
  <si>
    <t>PL-DEL_-0184</t>
  </si>
  <si>
    <t>PL-DEL_-0185</t>
  </si>
  <si>
    <t>PL-DEL_-0186</t>
  </si>
  <si>
    <t>PL-DEL_-0187</t>
  </si>
  <si>
    <t>PL-DEL_-0188</t>
  </si>
  <si>
    <t>PL-DEL_-0189</t>
  </si>
  <si>
    <t>PL-DEL_-0190</t>
  </si>
  <si>
    <t>PL-DEL_-0191</t>
  </si>
  <si>
    <t>PL-DEL_-0192</t>
  </si>
  <si>
    <t>PL-DEL_-0193</t>
  </si>
  <si>
    <t>PL-DEL_-0194</t>
  </si>
  <si>
    <t>PL-DEL_-0195</t>
  </si>
  <si>
    <t>PL-DEL_-0196</t>
  </si>
  <si>
    <t>PL-DEL_-0197</t>
  </si>
  <si>
    <t>PL-DEL_-0198</t>
  </si>
  <si>
    <t>PL-DEL_-0199</t>
  </si>
  <si>
    <t>PL-DEL_-0200</t>
  </si>
  <si>
    <t>PL-DEL_-0201</t>
  </si>
  <si>
    <t>PL-DEL_-0202</t>
  </si>
  <si>
    <t>PL-DEL_-0203</t>
  </si>
  <si>
    <t>PL-DEL_-0204</t>
  </si>
  <si>
    <t>PL-DEL_-0205</t>
  </si>
  <si>
    <t>PL-DEL_-0206</t>
  </si>
  <si>
    <t>PL-DEL_-0207</t>
  </si>
  <si>
    <t>PL-DEL_-0208</t>
  </si>
  <si>
    <t>PL-DEL_-0209</t>
  </si>
  <si>
    <t>PL-DEL_-0210</t>
  </si>
  <si>
    <t>PL-DEL_-0211</t>
  </si>
  <si>
    <t>PL-DEL_-0212</t>
  </si>
  <si>
    <t>PL-DEL_-0213</t>
  </si>
  <si>
    <t>PL-DEL_-0214</t>
  </si>
  <si>
    <t>PL-DEL_-0215</t>
  </si>
  <si>
    <t>PL-DEL_-0216</t>
  </si>
  <si>
    <t>PL-DEL_-0217</t>
  </si>
  <si>
    <t>PL-DEL_-0218</t>
  </si>
  <si>
    <t>PL-DEL_-0219</t>
  </si>
  <si>
    <t>PL-DEL_-0220</t>
  </si>
  <si>
    <t>PL-DEL_-0221</t>
  </si>
  <si>
    <t>PL-DEL_-0222</t>
  </si>
  <si>
    <t>PL-DEL_-0223</t>
  </si>
  <si>
    <t>PL-DEL_-0224</t>
  </si>
  <si>
    <t>PL-DEL_-0225</t>
  </si>
  <si>
    <t>PL-DEL_-0226</t>
  </si>
  <si>
    <t>PL-DEL_-0227</t>
  </si>
  <si>
    <t>PL-DEL_-0228</t>
  </si>
  <si>
    <t>PL-DEL_-0229</t>
  </si>
  <si>
    <t>PL-DEL_-0230</t>
  </si>
  <si>
    <t>PL-DEL_-0231</t>
  </si>
  <si>
    <t>PL-DEL_-0232</t>
  </si>
  <si>
    <t>PL-DEL_-0233</t>
  </si>
  <si>
    <t>PL-DEL_-0234</t>
  </si>
  <si>
    <t>PL-DEL_-0235</t>
  </si>
  <si>
    <t>PL-DEL_-0236</t>
  </si>
  <si>
    <t>PL-DEL_-0237</t>
  </si>
  <si>
    <t>PL-DEL_-0238</t>
  </si>
  <si>
    <t>PL-DEL_-0239</t>
  </si>
  <si>
    <t>PL-DEL_-0240</t>
  </si>
  <si>
    <t>PL-DEL_-0241</t>
  </si>
  <si>
    <t>PL-DEL_-0242</t>
  </si>
  <si>
    <t>PL-DEL_-0243</t>
  </si>
  <si>
    <t>PL-DEL_-0244</t>
  </si>
  <si>
    <t>PL-DEL_-0245</t>
  </si>
  <si>
    <t>PL-DEL_-0246</t>
  </si>
  <si>
    <t>PL-DEL_-0247</t>
  </si>
  <si>
    <t>PL-DEL_-0248</t>
  </si>
  <si>
    <t>PL-DEL_-0249</t>
  </si>
  <si>
    <t>PL-DEL_-0250</t>
  </si>
  <si>
    <t>PL-DEL_-0251</t>
  </si>
  <si>
    <t>PL-DEL_-0252</t>
  </si>
  <si>
    <t>PL-DEL_-0253</t>
  </si>
  <si>
    <t>PL-DEL_-0254</t>
  </si>
  <si>
    <t>PL-DEL_-0255</t>
  </si>
  <si>
    <t>PL-DEL_-0256</t>
  </si>
  <si>
    <t>PL-DEL_-0257</t>
  </si>
  <si>
    <t>PL-DEL_-0258</t>
  </si>
  <si>
    <t>PL-DEL_-0259</t>
  </si>
  <si>
    <t>PL-DEL_-0260</t>
  </si>
  <si>
    <t>PL-DEL_-0261</t>
  </si>
  <si>
    <t>PL-DEL_-0262</t>
  </si>
  <si>
    <t>PL-DEL_-0263</t>
  </si>
  <si>
    <t>PL-DEL_-0264</t>
  </si>
  <si>
    <t>PL-DEL_-0265</t>
  </si>
  <si>
    <t>PL-DEL_-0266</t>
  </si>
  <si>
    <t>PL-DEL_-0267</t>
  </si>
  <si>
    <t>PL-DEL_-0268</t>
  </si>
  <si>
    <t>PL-DEL_-0269</t>
  </si>
  <si>
    <t>PL-DEL_-0270</t>
  </si>
  <si>
    <t>PL-DEL_-0271</t>
  </si>
  <si>
    <t>PL-DEL_-0272</t>
  </si>
  <si>
    <t>PL-DEL_-0273</t>
  </si>
  <si>
    <t>PL-DEL_-0274</t>
  </si>
  <si>
    <t>PL-DEL_-0275</t>
  </si>
  <si>
    <t>PL-DEL_-0276</t>
  </si>
  <si>
    <t>PL-DEL_-0277</t>
  </si>
  <si>
    <t>PL-DEL_-0278</t>
  </si>
  <si>
    <t>PL-DEL_-0279</t>
  </si>
  <si>
    <t>PL-DEL_-0280</t>
  </si>
  <si>
    <t>PL-DEL_-0281</t>
  </si>
  <si>
    <t>PL-DEL_-0282</t>
  </si>
  <si>
    <t>PL-DEL_-0283</t>
  </si>
  <si>
    <t>PL-DEL_-0284</t>
  </si>
  <si>
    <t>PL-DEL_-0285</t>
  </si>
  <si>
    <t>PL-DEL_-0286</t>
  </si>
  <si>
    <t>PL-DEL_-0287</t>
  </si>
  <si>
    <t>PL-DEL_-0288</t>
  </si>
  <si>
    <t>PL-DEL_-0289</t>
  </si>
  <si>
    <t>PL-DEL_-0290</t>
  </si>
  <si>
    <t>PL-DEL_-0291</t>
  </si>
  <si>
    <t>PL-DEL_-0292</t>
  </si>
  <si>
    <t>PL-DEL_-0293</t>
  </si>
  <si>
    <t>PL-DEL_-0294</t>
  </si>
  <si>
    <t>PL-DEL_-0295</t>
  </si>
  <si>
    <t>PL-DEL_-0296</t>
  </si>
  <si>
    <t>PL-DEL_-0297</t>
  </si>
  <si>
    <t>PL-DEL_-0298</t>
  </si>
  <si>
    <t>PL-DEL_-0299</t>
  </si>
  <si>
    <t>PL-DEL_-0300</t>
  </si>
  <si>
    <t>PL-DEL_-0301</t>
  </si>
  <si>
    <t>PL-DEL_-0302</t>
  </si>
  <si>
    <t>PL-DEL_-0303</t>
  </si>
  <si>
    <t>PL-DEL_-0304</t>
  </si>
  <si>
    <t>PL-DEL_-0305</t>
  </si>
  <si>
    <t>PL-DEL_-0306</t>
  </si>
  <si>
    <t>PL-DEL_-0307</t>
  </si>
  <si>
    <t>PL-DEL_-0308</t>
  </si>
  <si>
    <t>PL-DEL_-0309</t>
  </si>
  <si>
    <t>PL-DEL_-0310</t>
  </si>
  <si>
    <t>PL-DEL_-0311</t>
  </si>
  <si>
    <t>PL-DEL_-0312</t>
  </si>
  <si>
    <t>PL-DEL_-0313</t>
  </si>
  <si>
    <t>PL-DEL_-0314</t>
  </si>
  <si>
    <t>PL-DEL_-0315</t>
  </si>
  <si>
    <t>PL-DEL_-0316</t>
  </si>
  <si>
    <t>PL-DEL_-0317</t>
  </si>
  <si>
    <t>PL-DEL_-0318</t>
  </si>
  <si>
    <t>PL-DEL_-0319</t>
  </si>
  <si>
    <t>PL-DEL_-0320</t>
  </si>
  <si>
    <t>PL-DEL_-0321</t>
  </si>
  <si>
    <t>PL-DEL_-0322</t>
  </si>
  <si>
    <t>PL-DEL_-0323</t>
  </si>
  <si>
    <t>PL-DEL_-0324</t>
  </si>
  <si>
    <t>PL-DEL_-0325</t>
  </si>
  <si>
    <t>PL-DEL_-0326</t>
  </si>
  <si>
    <t>PL-DEL_-0327</t>
  </si>
  <si>
    <t>PL-DEL_-0328</t>
  </si>
  <si>
    <t>PL-DEL_-0329</t>
  </si>
  <si>
    <t>PL-DEL_-0330</t>
  </si>
  <si>
    <t>PL-DEL_-0331</t>
  </si>
  <si>
    <t>PL-DEL_-0332</t>
  </si>
  <si>
    <t>PL-DEL_-0333</t>
  </si>
  <si>
    <t>PL-DEL_-0334</t>
  </si>
  <si>
    <t>PL-DEL_-0335</t>
  </si>
  <si>
    <t>PL-DEL_-0336</t>
  </si>
  <si>
    <t>PL-DEL_-0337</t>
  </si>
  <si>
    <t>PL-DEL_-0338</t>
  </si>
  <si>
    <t>PL-DEL_-0339</t>
  </si>
  <si>
    <t>PL-DEL_-0340</t>
  </si>
  <si>
    <t>PL-DEL_-0341</t>
  </si>
  <si>
    <t>PL-DEL_-0342</t>
  </si>
  <si>
    <t>PL-DEL_-0343</t>
  </si>
  <si>
    <t>PL-DEL_-0344</t>
  </si>
  <si>
    <t>PL-DEL_-0345</t>
  </si>
  <si>
    <t>PL-DEL_-0346</t>
  </si>
  <si>
    <t>PL-DEL_-0347</t>
  </si>
  <si>
    <t>PL-DEL_-0348</t>
  </si>
  <si>
    <t>PL-DEL_-0349</t>
  </si>
  <si>
    <t>PL-DEL_-0350</t>
  </si>
  <si>
    <t>PL-DEL_-0351</t>
  </si>
  <si>
    <t>PL-DEL_-0352</t>
  </si>
  <si>
    <t>PL-DEL_-0353</t>
  </si>
  <si>
    <t>PL-DEL_-0354</t>
  </si>
  <si>
    <t>PL-DEL_-0355</t>
  </si>
  <si>
    <t>PL-DEL_-0356</t>
  </si>
  <si>
    <t>PL-DEL_-0357</t>
  </si>
  <si>
    <t>PL-DEL_-0358</t>
  </si>
  <si>
    <t>PL-DEL_-0359</t>
  </si>
  <si>
    <t>PL-DEL_-0360</t>
  </si>
  <si>
    <t>PL-DEL_-0361</t>
  </si>
  <si>
    <t>PL-DEL_-0362</t>
  </si>
  <si>
    <t>PL-DEL_-0363</t>
  </si>
  <si>
    <t>PL-DEL_-0364</t>
  </si>
  <si>
    <t>PL-DEL_-0365</t>
  </si>
  <si>
    <t>PL-DEL_-0366</t>
  </si>
  <si>
    <t>PL-DEL_-0367</t>
  </si>
  <si>
    <t>PL-DEL_-0368</t>
  </si>
  <si>
    <t>PL-DEL_-0369</t>
  </si>
  <si>
    <t>PL-DEL_-0370</t>
  </si>
  <si>
    <t>PL-DEL_-0371</t>
  </si>
  <si>
    <t>PL-DEL_-0372</t>
  </si>
  <si>
    <t>PL-DEL_-0373</t>
  </si>
  <si>
    <t>PL-DEL_-0374</t>
  </si>
  <si>
    <t>PL-DEL_-0375</t>
  </si>
  <si>
    <t>PL-DEL_-0376</t>
  </si>
  <si>
    <t>PL-DEL_-0377</t>
  </si>
  <si>
    <t>PL-DEL_-0378</t>
  </si>
  <si>
    <t>PL-DEL_-0379</t>
  </si>
  <si>
    <t>PL-DEL_-0380</t>
  </si>
  <si>
    <t>PL-DEL_-0381</t>
  </si>
  <si>
    <t>PL-DEL_-0382</t>
  </si>
  <si>
    <t>PL-DEL_-0383</t>
  </si>
  <si>
    <t>PL-DEL_-0384</t>
  </si>
  <si>
    <t>PL-DEL_-0385</t>
  </si>
  <si>
    <t>PL-DEL_-0386</t>
  </si>
  <si>
    <t>PL-DEL_-0387</t>
  </si>
  <si>
    <t>PL-DEL_-0388</t>
  </si>
  <si>
    <t>PL-DEL_-0389</t>
  </si>
  <si>
    <t>PL-DEL_-0390</t>
  </si>
  <si>
    <t>PL-DEL_-0391</t>
  </si>
  <si>
    <t>PL-DEL_-0392</t>
  </si>
  <si>
    <t>PL-DEL_-0393</t>
  </si>
  <si>
    <t>PL-DEL_-0394</t>
  </si>
  <si>
    <t>PL-DEL_-0395</t>
  </si>
  <si>
    <t>PL-DEL_-0396</t>
  </si>
  <si>
    <t>PL-DEL_-0397</t>
  </si>
  <si>
    <t>PL-DEL_-0398</t>
  </si>
  <si>
    <t>PL-DEL_-0399</t>
  </si>
  <si>
    <t>PL-DEL_-0400</t>
  </si>
  <si>
    <t>PL-DEL_-0401</t>
  </si>
  <si>
    <t>PL-DEL_-0402</t>
  </si>
  <si>
    <t>PL-DEL_-0403</t>
  </si>
  <si>
    <t>PL-DEL_-0404</t>
  </si>
  <si>
    <t>PL-DEL_-0405</t>
  </si>
  <si>
    <t>PL-DEL_-0406</t>
  </si>
  <si>
    <t>PL-DEL_-0407</t>
  </si>
  <si>
    <t>PL-DEL_-0408</t>
  </si>
  <si>
    <t>PL-DEL_-0409</t>
  </si>
  <si>
    <t>PL-DEL_-0410</t>
  </si>
  <si>
    <t>PL-DEL_-0411</t>
  </si>
  <si>
    <t>PL-DEL_-0412</t>
  </si>
  <si>
    <t>PL-DEL_-0413</t>
  </si>
  <si>
    <t>PL-DEL_-0414</t>
  </si>
  <si>
    <t>PL-DEL_-0415</t>
  </si>
  <si>
    <t>PL-DEL_-0416</t>
  </si>
  <si>
    <t>PL-DEL_-0417</t>
  </si>
  <si>
    <t>PL-DEL_-0418</t>
  </si>
  <si>
    <t>PL-DEL_-0419</t>
  </si>
  <si>
    <t>PL-DEL_-0420</t>
  </si>
  <si>
    <t>PL-DEL_-0421</t>
  </si>
  <si>
    <t>PL-DEL_-0422</t>
  </si>
  <si>
    <t>PL-DEL_-0423</t>
  </si>
  <si>
    <t>PL-DEL_-0424</t>
  </si>
  <si>
    <t>PL-DEL_-0425</t>
  </si>
  <si>
    <t>PL-DEL_-0426</t>
  </si>
  <si>
    <t>PL-DEL_-0427</t>
  </si>
  <si>
    <t>PL-DEL_-0428</t>
  </si>
  <si>
    <t>PL-DEL_-0429</t>
  </si>
  <si>
    <t>PL-DEL_-0430</t>
  </si>
  <si>
    <t>PL-DEL_-0431</t>
  </si>
  <si>
    <t>PL-DEL_-0432</t>
  </si>
  <si>
    <t>PL-DEL_-0433</t>
  </si>
  <si>
    <t>PL-DEL_-0434</t>
  </si>
  <si>
    <t>PL-DEL_-0435</t>
  </si>
  <si>
    <t>PL-DEL_-0436</t>
  </si>
  <si>
    <t>PL-DEL_-0437</t>
  </si>
  <si>
    <t>PL-DEL_-0438</t>
  </si>
  <si>
    <t>PL-DEL_-0439</t>
  </si>
  <si>
    <t>PL-DEL_-0440</t>
  </si>
  <si>
    <t>PL-DEL_-0441</t>
  </si>
  <si>
    <t>PL-DEL_-0442</t>
  </si>
  <si>
    <t>PL-DEL_-0443</t>
  </si>
  <si>
    <t>PL-DEL_-0444</t>
  </si>
  <si>
    <t>PL-DEL_-0445</t>
  </si>
  <si>
    <t>PL-DEL_-0446</t>
  </si>
  <si>
    <t>PL-DEL_-0447</t>
  </si>
  <si>
    <t>PL-DEL_-0448</t>
  </si>
  <si>
    <t>PL-DEL_-0449</t>
  </si>
  <si>
    <t>PL-DEL_-0450</t>
  </si>
  <si>
    <t>PL-DEL_-0451</t>
  </si>
  <si>
    <t>PL-DEL_-0452</t>
  </si>
  <si>
    <t>PL-DEL_-0453</t>
  </si>
  <si>
    <t>PL-DEL_-0454</t>
  </si>
  <si>
    <t>PL-DEL_-0455</t>
  </si>
  <si>
    <t>PL-DEL_-0456</t>
  </si>
  <si>
    <t>PL-DEL_-0457</t>
  </si>
  <si>
    <t>PL-DEL_-0458</t>
  </si>
  <si>
    <t>PL-DEL_-0459</t>
  </si>
  <si>
    <t>PL-DEL_-0460</t>
  </si>
  <si>
    <t>PL-DEL_-0461</t>
  </si>
  <si>
    <t>PL-DEL_-0462</t>
  </si>
  <si>
    <t>PL-DEL_-0463</t>
  </si>
  <si>
    <t>PL-DEL_-0464</t>
  </si>
  <si>
    <t>PL-DEL_-0465</t>
  </si>
  <si>
    <t>PL-DEL_-0466</t>
  </si>
  <si>
    <t>PL-DEL_-0467</t>
  </si>
  <si>
    <t>PL-DEL_-0468</t>
  </si>
  <si>
    <t>PL-DEL_-0469</t>
  </si>
  <si>
    <t>PL-DEL_-0470</t>
  </si>
  <si>
    <t>PL-DEL_-0471</t>
  </si>
  <si>
    <t>PL-DEL_-0472</t>
  </si>
  <si>
    <t>PL-DEL_-0473</t>
  </si>
  <si>
    <t>PL-DEL_-0474</t>
  </si>
  <si>
    <t>PL-DEL_-0475</t>
  </si>
  <si>
    <t>PL-DEL_-0476</t>
  </si>
  <si>
    <t>PL-DEL_-0477</t>
  </si>
  <si>
    <t>PL-DEL_-0478</t>
  </si>
  <si>
    <t>PL-DEL_-0479</t>
  </si>
  <si>
    <t>PL-DEL_-0480</t>
  </si>
  <si>
    <t>PL-DEL_-0481</t>
  </si>
  <si>
    <t>PL-DEL_-0482</t>
  </si>
  <si>
    <t>PL-DEL_-0483</t>
  </si>
  <si>
    <t>PL-DEL_-0484</t>
  </si>
  <si>
    <t>PL-DEL_-0485</t>
  </si>
  <si>
    <t>PL-DEL_-0486</t>
  </si>
  <si>
    <t>PL-DEL_-0487</t>
  </si>
  <si>
    <t>PL-DEL_-0488</t>
  </si>
  <si>
    <t>PL-DEL_-0489</t>
  </si>
  <si>
    <t>PL-DEL_-0490</t>
  </si>
  <si>
    <t>PL-DEL_-0491</t>
  </si>
  <si>
    <t>PL-DEL_-0492</t>
  </si>
  <si>
    <t>PL-DEL_-0493</t>
  </si>
  <si>
    <t>PL-DEL_-0494</t>
  </si>
  <si>
    <t>PL-DEL_-0495</t>
  </si>
  <si>
    <t>PL-DEL_-0496</t>
  </si>
  <si>
    <t>PL-DEL_-0497</t>
  </si>
  <si>
    <t>PL-DEL_-0498</t>
  </si>
  <si>
    <t>PL-DEL_-0499</t>
  </si>
  <si>
    <t>PL-DEL_-0500</t>
  </si>
  <si>
    <t>PL-DEL_-0501</t>
  </si>
  <si>
    <t>PL-DEL_-0502</t>
  </si>
  <si>
    <t>PL-DEL_-0503</t>
  </si>
  <si>
    <t>PL-DEL_-0504</t>
  </si>
  <si>
    <t>PL-DEL_-0505</t>
  </si>
  <si>
    <t>PL-DEL_-0506</t>
  </si>
  <si>
    <t>PL-DEL_-0507</t>
  </si>
  <si>
    <t>PL-DEL_-0508</t>
  </si>
  <si>
    <t>PL-DEL_-0509</t>
  </si>
  <si>
    <t>PL-DEL_-0510</t>
  </si>
  <si>
    <t>PL-DEL_-0511</t>
  </si>
  <si>
    <t>PL-DEL_-0512</t>
  </si>
  <si>
    <t>PL-DEL_-0513</t>
  </si>
  <si>
    <t>PL-DEL_-0514</t>
  </si>
  <si>
    <t>PL-DEL_-0515</t>
  </si>
  <si>
    <t>PL-DEL_-0516</t>
  </si>
  <si>
    <t>PL-DEL_-0517</t>
  </si>
  <si>
    <t>PL-DEL_-0518</t>
  </si>
  <si>
    <t>PL-DEL_-0519</t>
  </si>
  <si>
    <t>PL-DEL_-0520</t>
  </si>
  <si>
    <t>PL-DEL_-0521</t>
  </si>
  <si>
    <t>PL-DEL_-0522</t>
  </si>
  <si>
    <t>PL-DEL_-0523</t>
  </si>
  <si>
    <t>PL-DEL_-0524</t>
  </si>
  <si>
    <t>PL-DEL_-0525</t>
  </si>
  <si>
    <t>PL-DEL_-0526</t>
  </si>
  <si>
    <t>PL-DEL_-0527</t>
  </si>
  <si>
    <t>PL-DEL_-0528</t>
  </si>
  <si>
    <t>PL-DEL_-0529</t>
  </si>
  <si>
    <t>PL-DEL_-0530</t>
  </si>
  <si>
    <t>PL-DEL_-0531</t>
  </si>
  <si>
    <t>PL-DEL_-0532</t>
  </si>
  <si>
    <t>PL-DEL_-0533</t>
  </si>
  <si>
    <t>PL-DEL_-0534</t>
  </si>
  <si>
    <t>PL-DEL_-0535</t>
  </si>
  <si>
    <t>PL-DEL_-0536</t>
  </si>
  <si>
    <t>PL-DEL_-0537</t>
  </si>
  <si>
    <t>PL-DEL_-0538</t>
  </si>
  <si>
    <t>PL-DEL_-0539</t>
  </si>
  <si>
    <t>PL-DEL_-0540</t>
  </si>
  <si>
    <t>PL-DEL_-0541</t>
  </si>
  <si>
    <t>PL-DEL_-0542</t>
  </si>
  <si>
    <t>PL-DEL_-0543</t>
  </si>
  <si>
    <t>PL-DEL_-0544</t>
  </si>
  <si>
    <t>PL-DEL_-0545</t>
  </si>
  <si>
    <t>PL-DEL_-0546</t>
  </si>
  <si>
    <t>PL-DEL_-0547</t>
  </si>
  <si>
    <t>PL-DEL_-0548</t>
  </si>
  <si>
    <t>PL-DEL_-0549</t>
  </si>
  <si>
    <t>PL-DEL_-0550</t>
  </si>
  <si>
    <t>PL-DEL_-0551</t>
  </si>
  <si>
    <t>PL-DEL_-0552</t>
  </si>
  <si>
    <t>PL-DEL_-0553</t>
  </si>
  <si>
    <t>PL-DEL_-0554</t>
  </si>
  <si>
    <t>PL-DEL_-0555</t>
  </si>
  <si>
    <t>PL-DEL_-0556</t>
  </si>
  <si>
    <t>PL-DEL_-0557</t>
  </si>
  <si>
    <t>PL-DEL_-0558</t>
  </si>
  <si>
    <t>PL-DEL_-0559</t>
  </si>
  <si>
    <t>PL-DEL_-0560</t>
  </si>
  <si>
    <t>PL-DEL_-0561</t>
  </si>
  <si>
    <t>PL-DEL_-0562</t>
  </si>
  <si>
    <t>PL-DEL_-0563</t>
  </si>
  <si>
    <t>PL-DEL_-0564</t>
  </si>
  <si>
    <t>PL-DEL_-0565</t>
  </si>
  <si>
    <t>PL-DEL_-0566</t>
  </si>
  <si>
    <t>PL-DEL_-0567</t>
  </si>
  <si>
    <t>PL-DEL_-0568</t>
  </si>
  <si>
    <t>PL-DEL_-0569</t>
  </si>
  <si>
    <t>PL-DEL_-0570</t>
  </si>
  <si>
    <t>PL-DEL_-0571</t>
  </si>
  <si>
    <t>PL-DEL_-0572</t>
  </si>
  <si>
    <t>PL-DEL_-0573</t>
  </si>
  <si>
    <t>PL-DEL_-0574</t>
  </si>
  <si>
    <t>PL-DEL_-0575</t>
  </si>
  <si>
    <t>PL-DEL_-0576</t>
  </si>
  <si>
    <t>PL-DEL_-0577</t>
  </si>
  <si>
    <t>PL-DEL_-0578</t>
  </si>
  <si>
    <t>PL-DEL_-0579</t>
  </si>
  <si>
    <t>PL-DEL_-0580</t>
  </si>
  <si>
    <t>PL-DEL_-0581</t>
  </si>
  <si>
    <t>image1.jpg</t>
  </si>
  <si>
    <t>image2.jpg</t>
  </si>
  <si>
    <t>image3.jpg</t>
  </si>
  <si>
    <t>image4.jpg</t>
  </si>
  <si>
    <t>image5.jpg</t>
  </si>
  <si>
    <t>image6.jpg</t>
  </si>
  <si>
    <t>image7.jpg</t>
  </si>
  <si>
    <t>image8.jpg</t>
  </si>
  <si>
    <t>image9.jpg</t>
  </si>
  <si>
    <t>image10.jpg</t>
  </si>
  <si>
    <t>image11.jpg</t>
  </si>
  <si>
    <t>image12.jpg</t>
  </si>
  <si>
    <t>image13.jpg</t>
  </si>
  <si>
    <t>image14.jpg</t>
  </si>
  <si>
    <t>image15.jpg</t>
  </si>
  <si>
    <t>image16.jpg</t>
  </si>
  <si>
    <t>image17.jpg</t>
  </si>
  <si>
    <t>image18.jpg</t>
  </si>
  <si>
    <t>image19.jpg</t>
  </si>
  <si>
    <t>image20.jpg</t>
  </si>
  <si>
    <t>image22.jpg</t>
  </si>
  <si>
    <t>image23.jpg</t>
  </si>
  <si>
    <t>image21.jpg</t>
  </si>
  <si>
    <t>image24.jpg</t>
  </si>
  <si>
    <t>image25.jpg</t>
  </si>
  <si>
    <t>image26.jpg</t>
  </si>
  <si>
    <t>image27.jpg</t>
  </si>
  <si>
    <t>image28.jpg</t>
  </si>
  <si>
    <t>image29.jpg</t>
  </si>
  <si>
    <t>image30.jpg</t>
  </si>
  <si>
    <t>image31.jpg</t>
  </si>
  <si>
    <t>image32.jpg</t>
  </si>
  <si>
    <t>image33.jpg</t>
  </si>
  <si>
    <t>image34.jpg</t>
  </si>
  <si>
    <t>Jugo de maracuyá, lata 5.3 oz / 157 ml, 48 unidades por caja</t>
  </si>
  <si>
    <t>image35.jpg</t>
  </si>
  <si>
    <t>image36.jpg</t>
  </si>
  <si>
    <t>image37.jpg</t>
  </si>
  <si>
    <t>image40.jpg</t>
  </si>
  <si>
    <t>image41.jpg</t>
  </si>
  <si>
    <t>image38.jpg</t>
  </si>
  <si>
    <t>image39.jpg</t>
  </si>
  <si>
    <t>image42.jpg</t>
  </si>
  <si>
    <t>image43.jpg</t>
  </si>
  <si>
    <t>image44.jpg</t>
  </si>
  <si>
    <t>image45.jpg</t>
  </si>
  <si>
    <t>image46.jpg</t>
  </si>
  <si>
    <t>image47.jpg</t>
  </si>
  <si>
    <t>image48.jpg</t>
  </si>
  <si>
    <t>image49.jpg</t>
  </si>
  <si>
    <t>image50.jpg</t>
  </si>
  <si>
    <t>image51.jpg</t>
  </si>
  <si>
    <t>image52.jpg</t>
  </si>
  <si>
    <t>image53.jpg</t>
  </si>
  <si>
    <t>image54.jpg</t>
  </si>
  <si>
    <t>image55.jpg</t>
  </si>
  <si>
    <t>image56.jpg</t>
  </si>
  <si>
    <t>image57.jpg</t>
  </si>
  <si>
    <t>image58.jpg</t>
  </si>
  <si>
    <t>image59.jpg</t>
  </si>
  <si>
    <t>image60.jpg</t>
  </si>
  <si>
    <t>image61.jpg</t>
  </si>
  <si>
    <t>image62.jpg</t>
  </si>
  <si>
    <t>image63.jpg</t>
  </si>
  <si>
    <t>image64.jpg</t>
  </si>
  <si>
    <t>image65.jpg</t>
  </si>
  <si>
    <t>image66.jpg</t>
  </si>
  <si>
    <t>image67.jpg</t>
  </si>
  <si>
    <t>image68.jpg</t>
  </si>
  <si>
    <t>image69.jpg</t>
  </si>
  <si>
    <t>image70.jpg</t>
  </si>
  <si>
    <t>image71.jpg</t>
  </si>
  <si>
    <t>image72.jpg</t>
  </si>
  <si>
    <t>image73.jpg</t>
  </si>
  <si>
    <t>image74.jpg</t>
  </si>
  <si>
    <t>image75.jpg</t>
  </si>
  <si>
    <t>image76.jpg</t>
  </si>
  <si>
    <t>image77.jpg</t>
  </si>
  <si>
    <t>image78.jpg</t>
  </si>
  <si>
    <t>image79.jpg</t>
  </si>
  <si>
    <t>image80.jpg</t>
  </si>
  <si>
    <t>image81.jpg</t>
  </si>
  <si>
    <t>image82.jpg</t>
  </si>
  <si>
    <t>image83.jpg</t>
  </si>
  <si>
    <t>image84.jpg</t>
  </si>
  <si>
    <t>image85.jpg</t>
  </si>
  <si>
    <t>image86.jpg</t>
  </si>
  <si>
    <t>image87.jpg</t>
  </si>
  <si>
    <t>image88.jpg</t>
  </si>
  <si>
    <t>image89.jpg</t>
  </si>
  <si>
    <t>image90.jpg</t>
  </si>
  <si>
    <t>image91.jpg</t>
  </si>
  <si>
    <t>image92.jpg</t>
  </si>
  <si>
    <t>image93.jpg</t>
  </si>
  <si>
    <t>image94.jpg</t>
  </si>
  <si>
    <t>image95.jpg</t>
  </si>
  <si>
    <t>Plástico 2000 ml, 6 unidades por caja</t>
  </si>
  <si>
    <t>image96.jpg</t>
  </si>
  <si>
    <t>image97.jpg</t>
  </si>
  <si>
    <t>image98.jpg</t>
  </si>
  <si>
    <t>image99.jpg</t>
  </si>
  <si>
    <t>image100.jpg</t>
  </si>
  <si>
    <t>image101.jpg</t>
  </si>
  <si>
    <t>image103.jpg</t>
  </si>
  <si>
    <t>image102.jpg</t>
  </si>
  <si>
    <t>image104.jpg</t>
  </si>
  <si>
    <t>image105.jpg</t>
  </si>
  <si>
    <t>image106.jpg</t>
  </si>
  <si>
    <t>image107.jpg</t>
  </si>
  <si>
    <t>image108.jpg</t>
  </si>
  <si>
    <t>image109.jpg</t>
  </si>
  <si>
    <t>image110.jpg</t>
  </si>
  <si>
    <t>image111.jpg</t>
  </si>
  <si>
    <t>image112.jpg</t>
  </si>
  <si>
    <t>image113.jpg</t>
  </si>
  <si>
    <t>image114.jpg</t>
  </si>
  <si>
    <t>image115.jpg</t>
  </si>
  <si>
    <t>image116.jpg</t>
  </si>
  <si>
    <t>image117.jpg</t>
  </si>
  <si>
    <t>image118.jpg</t>
  </si>
  <si>
    <t>image119.jpg</t>
  </si>
  <si>
    <t>image120.jpg</t>
  </si>
  <si>
    <t>image121.jpg</t>
  </si>
  <si>
    <t>image122.jpg</t>
  </si>
  <si>
    <t>image123.jpg</t>
  </si>
  <si>
    <t>image124.jpg</t>
  </si>
  <si>
    <t>image125.jpg</t>
  </si>
  <si>
    <t>image126.jpg</t>
  </si>
  <si>
    <t>image127.jpg</t>
  </si>
  <si>
    <t>image128.jpg</t>
  </si>
  <si>
    <t>image129.jpg</t>
  </si>
  <si>
    <t>image130.jpg</t>
  </si>
  <si>
    <t>image131.jpg</t>
  </si>
  <si>
    <t>image132.jpg</t>
  </si>
  <si>
    <t>image133.jpg</t>
  </si>
  <si>
    <t>image134.jpg</t>
  </si>
  <si>
    <t>image135.jpg</t>
  </si>
  <si>
    <t>image136.jpg</t>
  </si>
  <si>
    <t>image137.jpg</t>
  </si>
  <si>
    <t>image138.jpg</t>
  </si>
  <si>
    <t>image139.jpg</t>
  </si>
  <si>
    <t>image140.jpg</t>
  </si>
  <si>
    <t>image141.jpg</t>
  </si>
  <si>
    <t>image142.jpg</t>
  </si>
  <si>
    <t>image143.jpg</t>
  </si>
  <si>
    <t>image144.jpg</t>
  </si>
  <si>
    <t>image145.jpg</t>
  </si>
  <si>
    <t>image146.jpg</t>
  </si>
  <si>
    <t>image147.jpg</t>
  </si>
  <si>
    <t>image148.jpg</t>
  </si>
  <si>
    <t>image149.jpg</t>
  </si>
  <si>
    <t>image150.jpg</t>
  </si>
  <si>
    <t>image151.jpg</t>
  </si>
  <si>
    <t>image152.jpg</t>
  </si>
  <si>
    <t>image153.jpg</t>
  </si>
  <si>
    <t>image154.jpg</t>
  </si>
  <si>
    <t>image155.jpg</t>
  </si>
  <si>
    <t>image156.jpg</t>
  </si>
  <si>
    <t>image157.jpg</t>
  </si>
  <si>
    <t>image158.jpg</t>
  </si>
  <si>
    <t>image159.jpg</t>
  </si>
  <si>
    <t>image160.jpg</t>
  </si>
  <si>
    <t>Diana Quesitos, 24/3.28 oz</t>
  </si>
  <si>
    <t>Diana Tocinito, 24/5.57 oz</t>
  </si>
  <si>
    <t>Diana Yukatekas, 24/2.26 oz</t>
  </si>
  <si>
    <t>Diana Yuca, 24/4.05 oz</t>
  </si>
  <si>
    <t>image161.jpg</t>
  </si>
  <si>
    <t>image162.jpg</t>
  </si>
  <si>
    <t>image163.jpg</t>
  </si>
  <si>
    <t>image164.jpg</t>
  </si>
  <si>
    <t>image165.jpg</t>
  </si>
  <si>
    <t>image166.jpg</t>
  </si>
  <si>
    <t>image167.jpg</t>
  </si>
  <si>
    <t>image168.jpg</t>
  </si>
  <si>
    <t>image169.jpg</t>
  </si>
  <si>
    <t>Aritos, 24/80 g (2.82 oz)</t>
  </si>
  <si>
    <t>Quesifritos, 24/80 g(2.82 oz)</t>
  </si>
  <si>
    <t>Bolitas, 24/80 g(2.82 oz)</t>
  </si>
  <si>
    <t>image170.jpg</t>
  </si>
  <si>
    <t>image171.jpg</t>
  </si>
  <si>
    <t>image172.jpg</t>
  </si>
  <si>
    <t>image173.jpg</t>
  </si>
  <si>
    <t>Chobix, Barbacoa 12/100 g (3.53 oz)</t>
  </si>
  <si>
    <t>Chobix, Queso chipotle 12/100 g (3.53 oz)</t>
  </si>
  <si>
    <t>image174.jpg</t>
  </si>
  <si>
    <t>image175.jpg</t>
  </si>
  <si>
    <t>image176.jpg</t>
  </si>
  <si>
    <t>image177.jpg</t>
  </si>
  <si>
    <t>image178.jpg</t>
  </si>
  <si>
    <t>image179.jpg</t>
  </si>
  <si>
    <t>image180.jpg</t>
  </si>
  <si>
    <t>image181.jpg</t>
  </si>
  <si>
    <t>Chicharrones BBQ picante, 18/55 g (1.9 oz)</t>
  </si>
  <si>
    <t>Chicharrones Chile limón, 18/55 g (1.9 oz)</t>
  </si>
  <si>
    <t>Chicharrones Barbacoa, 18/55 g (1.9 oz)</t>
  </si>
  <si>
    <t>image182.jpg</t>
  </si>
  <si>
    <t>image183.jpg</t>
  </si>
  <si>
    <t>image184.jpg</t>
  </si>
  <si>
    <t>image185.jpg</t>
  </si>
  <si>
    <t>image186.jpg</t>
  </si>
  <si>
    <t>image187.jpg</t>
  </si>
  <si>
    <t>image188.jpg</t>
  </si>
  <si>
    <t>image189.jpg</t>
  </si>
  <si>
    <t>Crujitos Queso y chile, 120 g, 17 unidades por caja</t>
  </si>
  <si>
    <t>Crujitos Queso y chile, 32 g, 24 unidades por caja</t>
  </si>
  <si>
    <t>image190.jpg</t>
  </si>
  <si>
    <t>image191.jpg</t>
  </si>
  <si>
    <t>image192.jpg</t>
  </si>
  <si>
    <t>image193.jpg</t>
  </si>
  <si>
    <t>image194.jpg</t>
  </si>
  <si>
    <t>image195.jpg</t>
  </si>
  <si>
    <t>image196.jpg</t>
  </si>
  <si>
    <t>image197.jpg</t>
  </si>
  <si>
    <t>image198.jpg</t>
  </si>
  <si>
    <t>image199.jpg</t>
  </si>
  <si>
    <t>image200.jpg</t>
  </si>
  <si>
    <t>image201.jpg</t>
  </si>
  <si>
    <t>image202.jpg</t>
  </si>
  <si>
    <t>image203.jpg</t>
  </si>
  <si>
    <t>image204.jpg</t>
  </si>
  <si>
    <t>image205.jpg</t>
  </si>
  <si>
    <t>image206.jpg</t>
  </si>
  <si>
    <t>image207.jpg</t>
  </si>
  <si>
    <t>image208.jpg</t>
  </si>
  <si>
    <t>image209.jpg</t>
  </si>
  <si>
    <t>image210.jpg</t>
  </si>
  <si>
    <t>image211.jpg</t>
  </si>
  <si>
    <t>image212.jpg</t>
  </si>
  <si>
    <t>image213.jpg</t>
  </si>
  <si>
    <t>image214.jpg</t>
  </si>
  <si>
    <t>image215.jpg</t>
  </si>
  <si>
    <t>Zambos Originales onduladas, 24/155 g, 5.5 oz.</t>
  </si>
  <si>
    <t>image216.jpg</t>
  </si>
  <si>
    <t>image217.jpg</t>
  </si>
  <si>
    <t>image218.jpg</t>
  </si>
  <si>
    <t>image219.jpg</t>
  </si>
  <si>
    <t>image220.jpg</t>
  </si>
  <si>
    <t>image221.jpg</t>
  </si>
  <si>
    <t>image222.jpg</t>
  </si>
  <si>
    <t>image223.jpg</t>
  </si>
  <si>
    <t>image224.jpg</t>
  </si>
  <si>
    <t>image225.jpg</t>
  </si>
  <si>
    <t>image226.jpg</t>
  </si>
  <si>
    <t>image227.jpg</t>
  </si>
  <si>
    <t>image228.jpg</t>
  </si>
  <si>
    <t>image229.jpg</t>
  </si>
  <si>
    <t>image230.jpg</t>
  </si>
  <si>
    <t>image231.jpg</t>
  </si>
  <si>
    <t>image232.jpg</t>
  </si>
  <si>
    <t>image233.jpg</t>
  </si>
  <si>
    <t>image234.jpg</t>
  </si>
  <si>
    <t>image235.jpg</t>
  </si>
  <si>
    <t>image236.jpg</t>
  </si>
  <si>
    <t>image237.jpg</t>
  </si>
  <si>
    <t>image238.jpg</t>
  </si>
  <si>
    <t>image239.jpg</t>
  </si>
  <si>
    <t>Galletas Can Can, 37.5 g (1.3 oz), 16 paquetes por caja, 12 unidades por paquete</t>
  </si>
  <si>
    <t>image240.jpg</t>
  </si>
  <si>
    <t>Galleta Club Extra 24/298 g (10.5 oz)</t>
  </si>
  <si>
    <t>Galleta Cremosa 397 g (14 oz), 16 bolsas de 12 paquetes por caja</t>
  </si>
  <si>
    <t>image241.jpg</t>
  </si>
  <si>
    <t>image242.jpg</t>
  </si>
  <si>
    <t>image246.jpg</t>
  </si>
  <si>
    <t>image248.jpg</t>
  </si>
  <si>
    <t>image244.jpg</t>
  </si>
  <si>
    <t>image243.jpg</t>
  </si>
  <si>
    <t>Chocolate de leche, 40 g(1.4 oz), 12 unidades</t>
  </si>
  <si>
    <t>Barra de chocolate Con leche y con arroz , 40 g (1.4 oz), 12 unidades</t>
  </si>
  <si>
    <t>image245.jpg</t>
  </si>
  <si>
    <t>image247.jpg</t>
  </si>
  <si>
    <t>Chocolate Chapin original, 37 g, 6/6, 4 paquetes por caja</t>
  </si>
  <si>
    <t>image249.jpg</t>
  </si>
  <si>
    <t>image250.jpg</t>
  </si>
  <si>
    <t>image251.jpg</t>
  </si>
  <si>
    <t>image252.jpg</t>
  </si>
  <si>
    <t>image253.jpg</t>
  </si>
  <si>
    <t>image254.jpg</t>
  </si>
  <si>
    <t>image255.jpg</t>
  </si>
  <si>
    <t>image256.jpg</t>
  </si>
  <si>
    <t>image257.jpg</t>
  </si>
  <si>
    <t>image258.jpg</t>
  </si>
  <si>
    <t>image259.jpg</t>
  </si>
  <si>
    <t>image260.jpg</t>
  </si>
  <si>
    <t>image261.jpg</t>
  </si>
  <si>
    <t>image262.jpg</t>
  </si>
  <si>
    <t>image263.jpg</t>
  </si>
  <si>
    <t>image264.jpg</t>
  </si>
  <si>
    <t>image265.jpg</t>
  </si>
  <si>
    <t>image266.jpg</t>
  </si>
  <si>
    <t>image267.jpg</t>
  </si>
  <si>
    <t>image268.jpg</t>
  </si>
  <si>
    <t>image269.jpg</t>
  </si>
  <si>
    <t>image270.jpg</t>
  </si>
  <si>
    <t>image271.jpg</t>
  </si>
  <si>
    <t>image272.jpg</t>
  </si>
  <si>
    <t>image273.jpg</t>
  </si>
  <si>
    <t>image274.jpg</t>
  </si>
  <si>
    <t>image275.jpg</t>
  </si>
  <si>
    <t>image276.jpg</t>
  </si>
  <si>
    <t>image277.jpg</t>
  </si>
  <si>
    <t>image278.jpg</t>
  </si>
  <si>
    <t>image279.jpg</t>
  </si>
  <si>
    <t>image280.jpg</t>
  </si>
  <si>
    <t>image281.jpg</t>
  </si>
  <si>
    <t>image282.jpg</t>
  </si>
  <si>
    <t>image283.jpg</t>
  </si>
  <si>
    <t>image284.jpg</t>
  </si>
  <si>
    <t>image285.jpg</t>
  </si>
  <si>
    <t>image286.jpg</t>
  </si>
  <si>
    <t>image287.jpg</t>
  </si>
  <si>
    <t>image288.jpg</t>
  </si>
  <si>
    <t>image289.jpg</t>
  </si>
  <si>
    <t>image290.jpg</t>
  </si>
  <si>
    <t>image291.jpg</t>
  </si>
  <si>
    <t>image292.jpg</t>
  </si>
  <si>
    <t>image293.jpg</t>
  </si>
  <si>
    <t>Semita de yema, 12.87 oz, 10 unidades por caja</t>
  </si>
  <si>
    <t>image294.jpg</t>
  </si>
  <si>
    <t>image295.jpg</t>
  </si>
  <si>
    <t>image296.jpg</t>
  </si>
  <si>
    <t>image297.jpg</t>
  </si>
  <si>
    <t>image298.jpg</t>
  </si>
  <si>
    <t>image299.jpg</t>
  </si>
  <si>
    <t>Rosquillas, 4.94 oz, 18 unidades por caja</t>
  </si>
  <si>
    <t>image300.jpg</t>
  </si>
  <si>
    <t>image301.jpg</t>
  </si>
  <si>
    <t>Semita de arroz, 15 oz, 10 unidades por caja</t>
  </si>
  <si>
    <t>image302.jpg</t>
  </si>
  <si>
    <t>image303.jpg</t>
  </si>
  <si>
    <t>Margarita galleta de mantequilla, 12/397 g (14 oz)</t>
  </si>
  <si>
    <t>image304.jpg</t>
  </si>
  <si>
    <t>image305.jpg</t>
  </si>
  <si>
    <t>image306.jpg</t>
  </si>
  <si>
    <t>image307.jpg</t>
  </si>
  <si>
    <t>image308.jpg</t>
  </si>
  <si>
    <t>image309.jpg</t>
  </si>
  <si>
    <t>image310.jpg</t>
  </si>
  <si>
    <t>image311.jpg</t>
  </si>
  <si>
    <t>image312.jpg</t>
  </si>
  <si>
    <t>image313.jpg</t>
  </si>
  <si>
    <t>image314.jpg</t>
  </si>
  <si>
    <t>image315.jpg</t>
  </si>
  <si>
    <t>image316.jpg</t>
  </si>
  <si>
    <t>image317.jpg</t>
  </si>
  <si>
    <t>image318.jpg</t>
  </si>
  <si>
    <t>image319.jpg</t>
  </si>
  <si>
    <t>image320.jpg</t>
  </si>
  <si>
    <t>image321.jpg</t>
  </si>
  <si>
    <t>image322.jpg</t>
  </si>
  <si>
    <t>image323.jpg</t>
  </si>
  <si>
    <t>image324.jpg</t>
  </si>
  <si>
    <t>image325.jpg</t>
  </si>
  <si>
    <t>image326.jpg</t>
  </si>
  <si>
    <t>image327.jpg</t>
  </si>
  <si>
    <t>image328.jpg</t>
  </si>
  <si>
    <t>image329.jpg</t>
  </si>
  <si>
    <t>image330.jpg</t>
  </si>
  <si>
    <t>image331.jpg</t>
  </si>
  <si>
    <t>image332.jpg</t>
  </si>
  <si>
    <t>image333.jpg</t>
  </si>
  <si>
    <t>image334.jpg</t>
  </si>
  <si>
    <t>image335.jpg</t>
  </si>
  <si>
    <t>image336.jpg</t>
  </si>
  <si>
    <t>image337.jpg</t>
  </si>
  <si>
    <t>image338.jpg</t>
  </si>
  <si>
    <t>image339.jpg</t>
  </si>
  <si>
    <t>image340.jpg</t>
  </si>
  <si>
    <t>image341.jpg</t>
  </si>
  <si>
    <t>image342.jpg</t>
  </si>
  <si>
    <t>image343.jpg</t>
  </si>
  <si>
    <t>image344.jpg</t>
  </si>
  <si>
    <t>image345.jpg</t>
  </si>
  <si>
    <t>image346.jpg</t>
  </si>
  <si>
    <t>image347.jpg</t>
  </si>
  <si>
    <t>image348.jpg</t>
  </si>
  <si>
    <t>image349.jpg</t>
  </si>
  <si>
    <t>image350.jpg</t>
  </si>
  <si>
    <t>image351.jpg</t>
  </si>
  <si>
    <t>image352.jpg</t>
  </si>
  <si>
    <t>image353.jpg</t>
  </si>
  <si>
    <t>image354.jpg</t>
  </si>
  <si>
    <t>image355.jpg</t>
  </si>
  <si>
    <t>image356.jpg</t>
  </si>
  <si>
    <t>image357.jpg</t>
  </si>
  <si>
    <t>image358.jpg</t>
  </si>
  <si>
    <t>image359.jpg</t>
  </si>
  <si>
    <t>image360.jpg</t>
  </si>
  <si>
    <t>image361.jpg</t>
  </si>
  <si>
    <t>image362.jpg</t>
  </si>
  <si>
    <t>image363.jpg</t>
  </si>
  <si>
    <t>image364.jpg</t>
  </si>
  <si>
    <t>image365.jpg</t>
  </si>
  <si>
    <t>image366.jpg</t>
  </si>
  <si>
    <t>image367.jpg</t>
  </si>
  <si>
    <t>image368.jpg</t>
  </si>
  <si>
    <t>image369.jpg</t>
  </si>
  <si>
    <t>image370.jpg</t>
  </si>
  <si>
    <t>image371.jpg</t>
  </si>
  <si>
    <t>image372.jpg</t>
  </si>
  <si>
    <t>image373.jpg</t>
  </si>
  <si>
    <t>image374.jpg</t>
  </si>
  <si>
    <t>image375.jpg</t>
  </si>
  <si>
    <t>image376.jpg</t>
  </si>
  <si>
    <t>image377.jpg</t>
  </si>
  <si>
    <t>image378.jpg</t>
  </si>
  <si>
    <t>image379.jpg</t>
  </si>
  <si>
    <t>image380.jpg</t>
  </si>
  <si>
    <t>image381.jpg</t>
  </si>
  <si>
    <t>image382.jpg</t>
  </si>
  <si>
    <t>image383.jpg</t>
  </si>
  <si>
    <t>image384.jpg</t>
  </si>
  <si>
    <t>image385.jpg</t>
  </si>
  <si>
    <t>image386.jpg</t>
  </si>
  <si>
    <t>image387.jpg</t>
  </si>
  <si>
    <t>image388.jpg</t>
  </si>
  <si>
    <t>image389.jpg</t>
  </si>
  <si>
    <t>image390.jpg</t>
  </si>
  <si>
    <t>image391.jpg</t>
  </si>
  <si>
    <t>image392.jpg</t>
  </si>
  <si>
    <t>image393.jpg</t>
  </si>
  <si>
    <t>image394.jpg</t>
  </si>
  <si>
    <t>image395.jpg</t>
  </si>
  <si>
    <t>image396.jpg</t>
  </si>
  <si>
    <t>image397.jpg</t>
  </si>
  <si>
    <t>image398.jpg</t>
  </si>
  <si>
    <t>image399.jpg</t>
  </si>
  <si>
    <t>image400.jpg</t>
  </si>
  <si>
    <t>image401.jpg</t>
  </si>
  <si>
    <t>image402.jpg</t>
  </si>
  <si>
    <t>image403.jpg</t>
  </si>
  <si>
    <t>image404.jpg</t>
  </si>
  <si>
    <t>image405.jpg</t>
  </si>
  <si>
    <t>image406.jpg</t>
  </si>
  <si>
    <t>image407.jpg</t>
  </si>
  <si>
    <t>image408.jpg</t>
  </si>
  <si>
    <t>image409.jpg</t>
  </si>
  <si>
    <t>image410.jpg</t>
  </si>
  <si>
    <t>image411.jpg</t>
  </si>
  <si>
    <t>image412.jpg</t>
  </si>
  <si>
    <t>image413.jpg</t>
  </si>
  <si>
    <t>image414.jpg</t>
  </si>
  <si>
    <t>image415.jpg</t>
  </si>
  <si>
    <t>image416.jpg</t>
  </si>
  <si>
    <t>image417.jpg</t>
  </si>
  <si>
    <t>image418.jpg</t>
  </si>
  <si>
    <t>image419.jpg</t>
  </si>
  <si>
    <t>image420.jpg</t>
  </si>
  <si>
    <t>image421.jpg</t>
  </si>
  <si>
    <t>image422.jpg</t>
  </si>
  <si>
    <t>image423.jpg</t>
  </si>
  <si>
    <t>image424.jpg</t>
  </si>
  <si>
    <t>image425.jpg</t>
  </si>
  <si>
    <t>image426.jpg</t>
  </si>
  <si>
    <t>image427.jpg</t>
  </si>
  <si>
    <t>image428.jpg</t>
  </si>
  <si>
    <t>image429.jpg</t>
  </si>
  <si>
    <t>image430.jpg</t>
  </si>
  <si>
    <t>image431.jpg</t>
  </si>
  <si>
    <t>image432.jpg</t>
  </si>
  <si>
    <t>image433.jpg</t>
  </si>
  <si>
    <t>image434.jpg</t>
  </si>
  <si>
    <t>image435.jpg</t>
  </si>
  <si>
    <t>image436.jpg</t>
  </si>
  <si>
    <t>image437.jpg</t>
  </si>
  <si>
    <t>image438.jpg</t>
  </si>
  <si>
    <t>image439.jpg</t>
  </si>
  <si>
    <t>image440.jpg</t>
  </si>
  <si>
    <t>image441.jpg</t>
  </si>
  <si>
    <t>image442.jpg</t>
  </si>
  <si>
    <t>image443.jpg</t>
  </si>
  <si>
    <t>image444.jpg</t>
  </si>
  <si>
    <t>image445.jpg</t>
  </si>
  <si>
    <t>image446.jpg</t>
  </si>
  <si>
    <t>image447.jpg</t>
  </si>
  <si>
    <t>image448.jpg</t>
  </si>
  <si>
    <t>image449.jpg</t>
  </si>
  <si>
    <t>image450.jpg</t>
  </si>
  <si>
    <t>image451.jpg</t>
  </si>
  <si>
    <t>image452.jpg</t>
  </si>
  <si>
    <t>image453.jpg</t>
  </si>
  <si>
    <t>image454.jpg</t>
  </si>
  <si>
    <t>image455.jpg</t>
  </si>
  <si>
    <t>image456.jpg</t>
  </si>
  <si>
    <t>image457.jpg</t>
  </si>
  <si>
    <t>image458.jpg</t>
  </si>
  <si>
    <t>image459.jpg</t>
  </si>
  <si>
    <t>image460.jpg</t>
  </si>
  <si>
    <t>image461.jpg</t>
  </si>
  <si>
    <t>image462.jpg</t>
  </si>
  <si>
    <t>image463.jpg</t>
  </si>
  <si>
    <t>Salsa picante roja, botella 7.05 oz, 24 unidades por caja</t>
  </si>
  <si>
    <t>Salsa picante verde, botella 7.05 oz, 24 unidades por caja</t>
  </si>
  <si>
    <t>image464.jpg</t>
  </si>
  <si>
    <t>image465.jpg</t>
  </si>
  <si>
    <t>image466.jpg</t>
  </si>
  <si>
    <t>image467.jpg</t>
  </si>
  <si>
    <t>image468.jpg</t>
  </si>
  <si>
    <t>image469.jpg</t>
  </si>
  <si>
    <t>image470.jpg</t>
  </si>
  <si>
    <t>image471.jpg</t>
  </si>
  <si>
    <t>image472.jpg</t>
  </si>
  <si>
    <t>image473.jpg</t>
  </si>
  <si>
    <t>image474.jpg</t>
  </si>
  <si>
    <t>image475.jpg</t>
  </si>
  <si>
    <t>image476.jpg</t>
  </si>
  <si>
    <t>Jalapeños rodajados en escabeche semi picante, Lata 180 g, 48 unidades por caja</t>
  </si>
  <si>
    <t>Jalapeños rodajados en escabeche picante, Lata 180 g, 48 unidades por caja</t>
  </si>
  <si>
    <t>image477.jpg</t>
  </si>
  <si>
    <t>image478.jpg</t>
  </si>
  <si>
    <t>image479.jpg</t>
  </si>
  <si>
    <t>image480.jpg</t>
  </si>
  <si>
    <t>image481.jpg</t>
  </si>
  <si>
    <t>image482.jpg</t>
  </si>
  <si>
    <t>image483.jpg</t>
  </si>
  <si>
    <t>image484.jpg</t>
  </si>
  <si>
    <t>image485.jpg</t>
  </si>
  <si>
    <t>Concentrado natural horchata, 678 ml, 12 unidades por caja</t>
  </si>
  <si>
    <t>Concentrado naturale jamaica, 678 ml, 12 unidades por caja</t>
  </si>
  <si>
    <t>image486.jpg</t>
  </si>
  <si>
    <t>image487.jpg</t>
  </si>
  <si>
    <t>image488.jpg</t>
  </si>
  <si>
    <t>image489.jpg</t>
  </si>
  <si>
    <t>image490.jpg</t>
  </si>
  <si>
    <t>image491.jpg</t>
  </si>
  <si>
    <t>image492.jpg</t>
  </si>
  <si>
    <t>image493.jpg</t>
  </si>
  <si>
    <t>image494.jpg</t>
  </si>
  <si>
    <t>image495.jpg</t>
  </si>
  <si>
    <t>image496.jpg</t>
  </si>
  <si>
    <t>image497.jpg</t>
  </si>
  <si>
    <t>image498.jpg</t>
  </si>
  <si>
    <t>image499.jpg</t>
  </si>
  <si>
    <t>image500.jpg</t>
  </si>
  <si>
    <t>image501.jpg</t>
  </si>
  <si>
    <t>image502.jpg</t>
  </si>
  <si>
    <t>image503.jpg</t>
  </si>
  <si>
    <t>Rostizador Empanizador carne, 3.5 oz, 24 unidades por caja</t>
  </si>
  <si>
    <t>Rostizador Empanizador Spicy picante, 3.2 oz, 90 g</t>
  </si>
  <si>
    <t>Rostizador Empanizador Original, 1 Lb, 454 g</t>
  </si>
  <si>
    <t>Rostizador Empanizador pescado, 3.5 oz, 24 unidades por caja</t>
  </si>
  <si>
    <t>Rostizador Empanizador pollo, 3.5 oz, 24 unidades por caja</t>
  </si>
  <si>
    <t>image504.jpg</t>
  </si>
  <si>
    <t>image505.jpg</t>
  </si>
  <si>
    <t>image506.jpg</t>
  </si>
  <si>
    <t>image507.jpg</t>
  </si>
  <si>
    <t>image508.jpg</t>
  </si>
  <si>
    <t>image509.jpg</t>
  </si>
  <si>
    <t>image510.jpg</t>
  </si>
  <si>
    <t>image511.jpg</t>
  </si>
  <si>
    <t>image512.jpg</t>
  </si>
  <si>
    <t>image513.jpg</t>
  </si>
  <si>
    <t>image514.jpg</t>
  </si>
  <si>
    <t>image515.jpg</t>
  </si>
  <si>
    <t>image516.jpg</t>
  </si>
  <si>
    <t>image517.jpg</t>
  </si>
  <si>
    <t>image518.jpg</t>
  </si>
  <si>
    <t>image519.jpg</t>
  </si>
  <si>
    <t>image520.jpg</t>
  </si>
  <si>
    <t>image521.jpg</t>
  </si>
  <si>
    <t>image522.jpg</t>
  </si>
  <si>
    <t>image523.jpg</t>
  </si>
  <si>
    <t>Neurobión B12 Forte, 10 viales</t>
  </si>
  <si>
    <t>Neurobión B12 Extra forte, 10 viales</t>
  </si>
  <si>
    <t>image524.jpg</t>
  </si>
  <si>
    <t>image525.jpg</t>
  </si>
  <si>
    <t>image526.jpg</t>
  </si>
  <si>
    <t>image527.jpg</t>
  </si>
  <si>
    <t>image528.jpg</t>
  </si>
  <si>
    <t>image529.jpg</t>
  </si>
  <si>
    <t>image530.jpg</t>
  </si>
  <si>
    <t>image531.jpg</t>
  </si>
  <si>
    <t>image532.jpg</t>
  </si>
  <si>
    <t>Sukrol Vigor Hombre, 60 Cápsulas</t>
  </si>
  <si>
    <t>image533.jpg</t>
  </si>
  <si>
    <t>image534.jpg</t>
  </si>
  <si>
    <t>image535.jpg</t>
  </si>
  <si>
    <t>image536.jpg</t>
  </si>
  <si>
    <t>image537.jpg</t>
  </si>
  <si>
    <t>image538.jpg</t>
  </si>
  <si>
    <t>image539.jpg</t>
  </si>
  <si>
    <t>image540.jpg</t>
  </si>
  <si>
    <t>image541.jpg</t>
  </si>
  <si>
    <t>image542.jpg</t>
  </si>
  <si>
    <t>image543.jpg</t>
  </si>
  <si>
    <t>image544.jpg</t>
  </si>
  <si>
    <t>image545.jpg</t>
  </si>
  <si>
    <t>image546.jpg</t>
  </si>
  <si>
    <t>image547.jpg</t>
  </si>
  <si>
    <t>image548.jpg</t>
  </si>
  <si>
    <t>image549.jpg</t>
  </si>
  <si>
    <t>image550.jpg</t>
  </si>
  <si>
    <t>image551.jpg</t>
  </si>
  <si>
    <t>image552.jpg</t>
  </si>
  <si>
    <t>image553.jpg</t>
  </si>
  <si>
    <t>image554.jpg</t>
  </si>
  <si>
    <t>image555.jpg</t>
  </si>
  <si>
    <t>image556.jpg</t>
  </si>
  <si>
    <t>image557.jpg</t>
  </si>
  <si>
    <t>image558.jpg</t>
  </si>
  <si>
    <t>image559.jpg</t>
  </si>
  <si>
    <t>image560.jpg</t>
  </si>
  <si>
    <t>image561.jpg</t>
  </si>
  <si>
    <t>image562.jpg</t>
  </si>
  <si>
    <t>image563.jpg</t>
  </si>
  <si>
    <t>image564.jpg</t>
  </si>
  <si>
    <t>image565.jpg</t>
  </si>
  <si>
    <t>image566.jpg</t>
  </si>
  <si>
    <t>image567.jpg</t>
  </si>
  <si>
    <t>image568.jpg</t>
  </si>
  <si>
    <t>image569.jpg</t>
  </si>
  <si>
    <t>image570.jpg</t>
  </si>
  <si>
    <t>image571.jpg</t>
  </si>
  <si>
    <t>image572.jpg</t>
  </si>
  <si>
    <t>image573.jpg</t>
  </si>
  <si>
    <t>image574.jpg</t>
  </si>
  <si>
    <t>image575.jpg</t>
  </si>
  <si>
    <t>image576.jpg</t>
  </si>
  <si>
    <t>image577.jpg</t>
  </si>
  <si>
    <t>image578.jpg</t>
  </si>
  <si>
    <t>image579.jpg</t>
  </si>
  <si>
    <t>image580.jpg</t>
  </si>
  <si>
    <t>image581.jpg</t>
  </si>
  <si>
    <t>image582.jpg</t>
  </si>
  <si>
    <t>image583.jpg</t>
  </si>
  <si>
    <t>image584.jpg</t>
  </si>
  <si>
    <t>image585.jpg</t>
  </si>
  <si>
    <t>image586.jpg</t>
  </si>
  <si>
    <t>image587.jpg</t>
  </si>
  <si>
    <t>PL-DEL_-0582</t>
  </si>
  <si>
    <t>PL-DEL_-0583</t>
  </si>
  <si>
    <t>PL-DEL_-0584</t>
  </si>
  <si>
    <t>PL-DEL_-0585</t>
  </si>
  <si>
    <t>PL-DEL_-0586</t>
  </si>
  <si>
    <t>PL-DEL_-0587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</si>
</sst>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Aptos Display"/>
      <family val="2"/>
    </font>
    <font>
      <sz val="11"/>
      <color theme="1"/>
      <name val="Aptos Display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1" fillId="2" borderId="2" xfId="0" applyNumberFormat="1" applyFont="1" applyFill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7F53-BD6A-4C14-A754-7A5A24863456}">
  <dimension ref="A1:J588"/>
  <sheetViews>
    <sheetView tabSelected="1" topLeftCell="C1" zoomScaleNormal="100" workbookViewId="0">
      <pane ySplit="1" topLeftCell="A254" activePane="bottomLeft" state="frozen"/>
      <selection pane="bottomLeft" activeCell="K170" sqref="K170"/>
    </sheetView>
  </sheetViews>
  <sheetFormatPr baseColWidth="10" defaultColWidth="8.7265625" defaultRowHeight="14.5" x14ac:dyDescent="0.35"/>
  <cols>
    <col min="2" max="2" width="66.7265625" style="4" customWidth="1"/>
    <col min="3" max="4" width="20.453125" style="4" customWidth="1"/>
    <col min="5" max="5" width="17" style="4" customWidth="1"/>
    <col min="6" max="6" width="15.453125" style="6" customWidth="1"/>
    <col min="7" max="7" width="16.6328125" style="6" customWidth="1"/>
    <col min="8" max="8" width="16.08984375" style="6" customWidth="1"/>
    <col min="9" max="9" width="12.90625" style="6" customWidth="1"/>
    <col min="10" max="10" width="16.08984375" customWidth="1"/>
  </cols>
  <sheetData>
    <row r="1" spans="1:10" x14ac:dyDescent="0.35">
      <c r="A1" s="1" t="s">
        <v>720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719</v>
      </c>
    </row>
    <row r="2" spans="1:10" x14ac:dyDescent="0.35">
      <c r="A2" t="s">
        <v>721</v>
      </c>
      <c r="B2" s="4" t="s">
        <v>8</v>
      </c>
      <c r="C2" s="4" t="s">
        <v>9</v>
      </c>
      <c r="D2" s="4" t="s">
        <v>10</v>
      </c>
      <c r="E2" s="5" t="s">
        <v>11</v>
      </c>
      <c r="F2" s="6">
        <v>12.39</v>
      </c>
      <c r="G2" s="6">
        <v>1.2</v>
      </c>
      <c r="H2" s="6">
        <f t="shared" ref="H2:H70" si="0">(F2*0.4)+F2</f>
        <v>17.346</v>
      </c>
      <c r="I2" s="6">
        <f t="shared" ref="I2:I70" si="1">((F2+G2)*0.4)+(F2+G2)</f>
        <v>19.026</v>
      </c>
      <c r="J2" t="s">
        <v>1302</v>
      </c>
    </row>
    <row r="3" spans="1:10" x14ac:dyDescent="0.35">
      <c r="A3" t="s">
        <v>722</v>
      </c>
      <c r="B3" s="4" t="s">
        <v>12</v>
      </c>
      <c r="C3" s="4" t="s">
        <v>9</v>
      </c>
      <c r="D3" s="4" t="s">
        <v>10</v>
      </c>
      <c r="E3" s="5" t="s">
        <v>11</v>
      </c>
      <c r="F3" s="6">
        <v>12.39</v>
      </c>
      <c r="G3" s="6">
        <v>1.2</v>
      </c>
      <c r="H3" s="6">
        <f t="shared" si="0"/>
        <v>17.346</v>
      </c>
      <c r="I3" s="6">
        <f t="shared" si="1"/>
        <v>19.026</v>
      </c>
      <c r="J3" t="s">
        <v>1303</v>
      </c>
    </row>
    <row r="4" spans="1:10" x14ac:dyDescent="0.35">
      <c r="A4" t="s">
        <v>723</v>
      </c>
      <c r="B4" s="4" t="s">
        <v>13</v>
      </c>
      <c r="C4" s="4" t="s">
        <v>9</v>
      </c>
      <c r="D4" s="4" t="s">
        <v>10</v>
      </c>
      <c r="E4" s="5" t="s">
        <v>11</v>
      </c>
      <c r="F4" s="6">
        <v>12.39</v>
      </c>
      <c r="G4" s="6">
        <v>1.2</v>
      </c>
      <c r="H4" s="6">
        <f t="shared" si="0"/>
        <v>17.346</v>
      </c>
      <c r="I4" s="6">
        <f t="shared" si="1"/>
        <v>19.026</v>
      </c>
      <c r="J4" t="s">
        <v>1304</v>
      </c>
    </row>
    <row r="5" spans="1:10" x14ac:dyDescent="0.35">
      <c r="A5" t="s">
        <v>724</v>
      </c>
      <c r="B5" s="4" t="s">
        <v>14</v>
      </c>
      <c r="C5" s="4" t="s">
        <v>9</v>
      </c>
      <c r="D5" s="4" t="s">
        <v>10</v>
      </c>
      <c r="E5" s="5" t="s">
        <v>11</v>
      </c>
      <c r="F5" s="6">
        <v>12.39</v>
      </c>
      <c r="G5" s="6">
        <v>1.2</v>
      </c>
      <c r="H5" s="6">
        <f t="shared" si="0"/>
        <v>17.346</v>
      </c>
      <c r="I5" s="6">
        <f t="shared" si="1"/>
        <v>19.026</v>
      </c>
      <c r="J5" t="s">
        <v>1305</v>
      </c>
    </row>
    <row r="6" spans="1:10" x14ac:dyDescent="0.35">
      <c r="A6" t="s">
        <v>725</v>
      </c>
      <c r="B6" s="4" t="s">
        <v>15</v>
      </c>
      <c r="C6" s="4" t="s">
        <v>9</v>
      </c>
      <c r="D6" s="4" t="s">
        <v>10</v>
      </c>
      <c r="E6" s="5" t="s">
        <v>11</v>
      </c>
      <c r="F6" s="6">
        <v>12.39</v>
      </c>
      <c r="G6" s="6">
        <v>1.2</v>
      </c>
      <c r="H6" s="6">
        <f t="shared" si="0"/>
        <v>17.346</v>
      </c>
      <c r="I6" s="6">
        <f t="shared" si="1"/>
        <v>19.026</v>
      </c>
      <c r="J6" t="s">
        <v>1306</v>
      </c>
    </row>
    <row r="7" spans="1:10" x14ac:dyDescent="0.35">
      <c r="A7" t="s">
        <v>726</v>
      </c>
      <c r="B7" s="4" t="s">
        <v>16</v>
      </c>
      <c r="C7" s="4" t="s">
        <v>9</v>
      </c>
      <c r="D7" s="4" t="s">
        <v>10</v>
      </c>
      <c r="E7" s="5" t="s">
        <v>11</v>
      </c>
      <c r="F7" s="6">
        <v>12.39</v>
      </c>
      <c r="G7" s="6">
        <v>1.2</v>
      </c>
      <c r="H7" s="6">
        <f t="shared" si="0"/>
        <v>17.346</v>
      </c>
      <c r="I7" s="6">
        <f t="shared" si="1"/>
        <v>19.026</v>
      </c>
      <c r="J7" t="s">
        <v>1307</v>
      </c>
    </row>
    <row r="8" spans="1:10" x14ac:dyDescent="0.35">
      <c r="A8" t="s">
        <v>727</v>
      </c>
      <c r="B8" s="4" t="s">
        <v>17</v>
      </c>
      <c r="C8" s="4" t="s">
        <v>9</v>
      </c>
      <c r="D8" s="4" t="s">
        <v>10</v>
      </c>
      <c r="E8" s="5" t="s">
        <v>11</v>
      </c>
      <c r="F8" s="6">
        <v>17.8</v>
      </c>
      <c r="G8" s="6">
        <v>0</v>
      </c>
      <c r="H8" s="6">
        <f t="shared" si="0"/>
        <v>24.92</v>
      </c>
      <c r="I8" s="6">
        <f t="shared" si="1"/>
        <v>24.92</v>
      </c>
      <c r="J8" t="s">
        <v>1308</v>
      </c>
    </row>
    <row r="9" spans="1:10" x14ac:dyDescent="0.35">
      <c r="A9" t="s">
        <v>728</v>
      </c>
      <c r="B9" s="4" t="s">
        <v>18</v>
      </c>
      <c r="C9" s="4" t="s">
        <v>9</v>
      </c>
      <c r="D9" s="4" t="s">
        <v>10</v>
      </c>
      <c r="E9" s="5" t="s">
        <v>11</v>
      </c>
      <c r="F9" s="6">
        <v>17.8</v>
      </c>
      <c r="G9" s="6">
        <v>0</v>
      </c>
      <c r="H9" s="6">
        <f t="shared" si="0"/>
        <v>24.92</v>
      </c>
      <c r="I9" s="6">
        <f t="shared" si="1"/>
        <v>24.92</v>
      </c>
      <c r="J9" t="s">
        <v>1309</v>
      </c>
    </row>
    <row r="10" spans="1:10" x14ac:dyDescent="0.35">
      <c r="A10" t="s">
        <v>729</v>
      </c>
      <c r="B10" s="4" t="s">
        <v>19</v>
      </c>
      <c r="C10" s="4" t="s">
        <v>9</v>
      </c>
      <c r="D10" s="4" t="s">
        <v>10</v>
      </c>
      <c r="E10" s="5" t="s">
        <v>11</v>
      </c>
      <c r="F10" s="6">
        <v>17.8</v>
      </c>
      <c r="G10" s="6">
        <v>0</v>
      </c>
      <c r="H10" s="6">
        <f t="shared" si="0"/>
        <v>24.92</v>
      </c>
      <c r="I10" s="6">
        <f t="shared" si="1"/>
        <v>24.92</v>
      </c>
      <c r="J10" t="s">
        <v>1310</v>
      </c>
    </row>
    <row r="11" spans="1:10" x14ac:dyDescent="0.35">
      <c r="A11" t="s">
        <v>730</v>
      </c>
      <c r="B11" s="4" t="s">
        <v>20</v>
      </c>
      <c r="C11" s="4" t="s">
        <v>9</v>
      </c>
      <c r="D11" s="4" t="s">
        <v>10</v>
      </c>
      <c r="E11" s="5" t="s">
        <v>11</v>
      </c>
      <c r="F11" s="6">
        <v>17.8</v>
      </c>
      <c r="G11" s="6">
        <v>0</v>
      </c>
      <c r="H11" s="6">
        <f t="shared" si="0"/>
        <v>24.92</v>
      </c>
      <c r="I11" s="6">
        <f t="shared" si="1"/>
        <v>24.92</v>
      </c>
      <c r="J11" t="s">
        <v>1311</v>
      </c>
    </row>
    <row r="12" spans="1:10" x14ac:dyDescent="0.35">
      <c r="A12" t="s">
        <v>731</v>
      </c>
      <c r="B12" s="4" t="s">
        <v>21</v>
      </c>
      <c r="C12" s="4" t="s">
        <v>9</v>
      </c>
      <c r="D12" s="4" t="s">
        <v>10</v>
      </c>
      <c r="E12" s="5" t="s">
        <v>11</v>
      </c>
      <c r="F12" s="6">
        <v>15.34</v>
      </c>
      <c r="G12" s="6">
        <v>0.6</v>
      </c>
      <c r="H12" s="6">
        <f t="shared" si="0"/>
        <v>21.475999999999999</v>
      </c>
      <c r="I12" s="6">
        <f t="shared" si="1"/>
        <v>22.315999999999999</v>
      </c>
      <c r="J12" t="s">
        <v>1312</v>
      </c>
    </row>
    <row r="13" spans="1:10" x14ac:dyDescent="0.35">
      <c r="A13" t="s">
        <v>732</v>
      </c>
      <c r="B13" s="4" t="s">
        <v>22</v>
      </c>
      <c r="C13" s="4" t="s">
        <v>23</v>
      </c>
      <c r="D13" s="4" t="s">
        <v>10</v>
      </c>
      <c r="E13" s="5" t="s">
        <v>11</v>
      </c>
      <c r="F13" s="6">
        <v>17.82</v>
      </c>
      <c r="G13" s="6">
        <v>0.6</v>
      </c>
      <c r="H13" s="6">
        <f t="shared" si="0"/>
        <v>24.948</v>
      </c>
      <c r="I13" s="6">
        <f t="shared" si="1"/>
        <v>25.788000000000004</v>
      </c>
      <c r="J13" t="s">
        <v>1313</v>
      </c>
    </row>
    <row r="14" spans="1:10" x14ac:dyDescent="0.35">
      <c r="A14" t="s">
        <v>733</v>
      </c>
      <c r="B14" s="4" t="s">
        <v>24</v>
      </c>
      <c r="C14" s="4" t="s">
        <v>23</v>
      </c>
      <c r="D14" s="4" t="s">
        <v>10</v>
      </c>
      <c r="E14" s="5" t="s">
        <v>11</v>
      </c>
      <c r="F14" s="6">
        <v>17.82</v>
      </c>
      <c r="G14" s="6">
        <v>0.6</v>
      </c>
      <c r="H14" s="6">
        <f t="shared" si="0"/>
        <v>24.948</v>
      </c>
      <c r="I14" s="6">
        <f t="shared" si="1"/>
        <v>25.788000000000004</v>
      </c>
      <c r="J14" t="s">
        <v>1314</v>
      </c>
    </row>
    <row r="15" spans="1:10" x14ac:dyDescent="0.35">
      <c r="A15" t="s">
        <v>734</v>
      </c>
      <c r="B15" s="4" t="s">
        <v>25</v>
      </c>
      <c r="C15" s="4" t="s">
        <v>23</v>
      </c>
      <c r="D15" s="4" t="s">
        <v>10</v>
      </c>
      <c r="E15" s="5" t="s">
        <v>11</v>
      </c>
      <c r="F15" s="6">
        <v>17.82</v>
      </c>
      <c r="G15" s="6">
        <v>0.6</v>
      </c>
      <c r="H15" s="6">
        <f t="shared" si="0"/>
        <v>24.948</v>
      </c>
      <c r="I15" s="6">
        <f t="shared" si="1"/>
        <v>25.788000000000004</v>
      </c>
      <c r="J15" t="s">
        <v>1315</v>
      </c>
    </row>
    <row r="16" spans="1:10" x14ac:dyDescent="0.35">
      <c r="A16" t="s">
        <v>735</v>
      </c>
      <c r="B16" s="4" t="s">
        <v>26</v>
      </c>
      <c r="C16" s="4" t="s">
        <v>23</v>
      </c>
      <c r="D16" s="4" t="s">
        <v>10</v>
      </c>
      <c r="E16" s="5" t="s">
        <v>11</v>
      </c>
      <c r="F16" s="6">
        <v>17.82</v>
      </c>
      <c r="G16" s="6">
        <v>0.6</v>
      </c>
      <c r="H16" s="6">
        <f t="shared" si="0"/>
        <v>24.948</v>
      </c>
      <c r="I16" s="6">
        <f t="shared" si="1"/>
        <v>25.788000000000004</v>
      </c>
      <c r="J16" t="s">
        <v>1316</v>
      </c>
    </row>
    <row r="17" spans="1:10" x14ac:dyDescent="0.35">
      <c r="A17" t="s">
        <v>736</v>
      </c>
      <c r="B17" s="4" t="s">
        <v>27</v>
      </c>
      <c r="C17" s="4" t="s">
        <v>23</v>
      </c>
      <c r="D17" s="4" t="s">
        <v>10</v>
      </c>
      <c r="E17" s="5" t="s">
        <v>11</v>
      </c>
      <c r="F17" s="6">
        <v>28.19</v>
      </c>
      <c r="G17" s="6">
        <v>0.6</v>
      </c>
      <c r="H17" s="6">
        <f t="shared" si="0"/>
        <v>39.466000000000001</v>
      </c>
      <c r="I17" s="6">
        <f t="shared" si="1"/>
        <v>40.306000000000004</v>
      </c>
      <c r="J17" t="s">
        <v>1317</v>
      </c>
    </row>
    <row r="18" spans="1:10" x14ac:dyDescent="0.35">
      <c r="A18" t="s">
        <v>737</v>
      </c>
      <c r="B18" s="4" t="s">
        <v>28</v>
      </c>
      <c r="C18" s="4" t="s">
        <v>23</v>
      </c>
      <c r="D18" s="4" t="s">
        <v>10</v>
      </c>
      <c r="E18" s="5" t="s">
        <v>11</v>
      </c>
      <c r="F18" s="6">
        <v>28.19</v>
      </c>
      <c r="G18" s="6">
        <v>0.6</v>
      </c>
      <c r="H18" s="6">
        <f t="shared" si="0"/>
        <v>39.466000000000001</v>
      </c>
      <c r="I18" s="6">
        <f t="shared" si="1"/>
        <v>40.306000000000004</v>
      </c>
      <c r="J18" t="s">
        <v>1318</v>
      </c>
    </row>
    <row r="19" spans="1:10" x14ac:dyDescent="0.35">
      <c r="A19" t="s">
        <v>738</v>
      </c>
      <c r="B19" s="4" t="s">
        <v>29</v>
      </c>
      <c r="C19" s="4" t="s">
        <v>23</v>
      </c>
      <c r="D19" s="4" t="s">
        <v>10</v>
      </c>
      <c r="E19" s="5" t="s">
        <v>11</v>
      </c>
      <c r="F19" s="6">
        <v>28.19</v>
      </c>
      <c r="G19" s="6">
        <v>0.6</v>
      </c>
      <c r="H19" s="6">
        <f t="shared" si="0"/>
        <v>39.466000000000001</v>
      </c>
      <c r="I19" s="6">
        <f t="shared" si="1"/>
        <v>40.306000000000004</v>
      </c>
      <c r="J19" t="s">
        <v>1319</v>
      </c>
    </row>
    <row r="20" spans="1:10" x14ac:dyDescent="0.35">
      <c r="A20" t="s">
        <v>739</v>
      </c>
      <c r="B20" s="4" t="s">
        <v>30</v>
      </c>
      <c r="C20" s="4" t="s">
        <v>23</v>
      </c>
      <c r="D20" s="4" t="s">
        <v>10</v>
      </c>
      <c r="E20" s="5" t="s">
        <v>11</v>
      </c>
      <c r="F20" s="6">
        <v>28.19</v>
      </c>
      <c r="G20" s="6">
        <v>0.6</v>
      </c>
      <c r="H20" s="6">
        <f t="shared" si="0"/>
        <v>39.466000000000001</v>
      </c>
      <c r="I20" s="6">
        <f t="shared" si="1"/>
        <v>40.306000000000004</v>
      </c>
      <c r="J20" t="s">
        <v>1320</v>
      </c>
    </row>
    <row r="21" spans="1:10" x14ac:dyDescent="0.35">
      <c r="A21" t="s">
        <v>740</v>
      </c>
      <c r="B21" s="4" t="s">
        <v>31</v>
      </c>
      <c r="C21" s="4" t="s">
        <v>23</v>
      </c>
      <c r="D21" s="4" t="s">
        <v>10</v>
      </c>
      <c r="E21" s="5" t="s">
        <v>11</v>
      </c>
      <c r="F21" s="6">
        <v>28.19</v>
      </c>
      <c r="G21" s="6">
        <v>0.6</v>
      </c>
      <c r="H21" s="6">
        <f t="shared" si="0"/>
        <v>39.466000000000001</v>
      </c>
      <c r="I21" s="6">
        <f t="shared" si="1"/>
        <v>40.306000000000004</v>
      </c>
      <c r="J21" t="s">
        <v>1321</v>
      </c>
    </row>
    <row r="22" spans="1:10" x14ac:dyDescent="0.35">
      <c r="A22" t="s">
        <v>741</v>
      </c>
      <c r="B22" s="4" t="s">
        <v>32</v>
      </c>
      <c r="C22" s="4" t="s">
        <v>23</v>
      </c>
      <c r="D22" s="4" t="s">
        <v>10</v>
      </c>
      <c r="E22" s="5" t="s">
        <v>11</v>
      </c>
      <c r="F22" s="6">
        <v>28.19</v>
      </c>
      <c r="G22" s="6">
        <v>0.6</v>
      </c>
      <c r="H22" s="6">
        <f t="shared" si="0"/>
        <v>39.466000000000001</v>
      </c>
      <c r="I22" s="6">
        <f t="shared" si="1"/>
        <v>40.306000000000004</v>
      </c>
      <c r="J22" t="s">
        <v>1324</v>
      </c>
    </row>
    <row r="23" spans="1:10" x14ac:dyDescent="0.35">
      <c r="A23" t="s">
        <v>742</v>
      </c>
      <c r="B23" s="4" t="s">
        <v>33</v>
      </c>
      <c r="C23" s="4" t="s">
        <v>23</v>
      </c>
      <c r="D23" s="4" t="s">
        <v>10</v>
      </c>
      <c r="E23" s="5" t="s">
        <v>11</v>
      </c>
      <c r="F23" s="6">
        <v>28.19</v>
      </c>
      <c r="G23" s="6">
        <v>0.6</v>
      </c>
      <c r="H23" s="6">
        <f t="shared" si="0"/>
        <v>39.466000000000001</v>
      </c>
      <c r="I23" s="6">
        <f t="shared" si="1"/>
        <v>40.306000000000004</v>
      </c>
      <c r="J23" t="s">
        <v>1322</v>
      </c>
    </row>
    <row r="24" spans="1:10" x14ac:dyDescent="0.35">
      <c r="A24" t="s">
        <v>743</v>
      </c>
      <c r="B24" s="4" t="s">
        <v>34</v>
      </c>
      <c r="C24" s="4" t="s">
        <v>23</v>
      </c>
      <c r="D24" s="4" t="s">
        <v>10</v>
      </c>
      <c r="E24" s="5" t="s">
        <v>11</v>
      </c>
      <c r="F24" s="6">
        <v>28.19</v>
      </c>
      <c r="G24" s="6">
        <v>0.6</v>
      </c>
      <c r="H24" s="6">
        <f t="shared" si="0"/>
        <v>39.466000000000001</v>
      </c>
      <c r="I24" s="6">
        <f t="shared" si="1"/>
        <v>40.306000000000004</v>
      </c>
      <c r="J24" t="s">
        <v>1323</v>
      </c>
    </row>
    <row r="25" spans="1:10" x14ac:dyDescent="0.35">
      <c r="A25" t="s">
        <v>744</v>
      </c>
      <c r="B25" s="4" t="s">
        <v>35</v>
      </c>
      <c r="C25" s="4" t="s">
        <v>23</v>
      </c>
      <c r="D25" s="4" t="s">
        <v>10</v>
      </c>
      <c r="E25" s="5" t="s">
        <v>11</v>
      </c>
      <c r="F25" s="6">
        <v>28.19</v>
      </c>
      <c r="G25" s="6">
        <v>0.6</v>
      </c>
      <c r="H25" s="6">
        <f t="shared" si="0"/>
        <v>39.466000000000001</v>
      </c>
      <c r="I25" s="6">
        <f t="shared" si="1"/>
        <v>40.306000000000004</v>
      </c>
      <c r="J25" t="s">
        <v>1325</v>
      </c>
    </row>
    <row r="26" spans="1:10" x14ac:dyDescent="0.35">
      <c r="A26" t="s">
        <v>745</v>
      </c>
      <c r="B26" s="4" t="s">
        <v>36</v>
      </c>
      <c r="C26" s="4" t="s">
        <v>23</v>
      </c>
      <c r="D26" s="4" t="s">
        <v>10</v>
      </c>
      <c r="E26" s="5" t="s">
        <v>11</v>
      </c>
      <c r="F26" s="6">
        <v>30.41</v>
      </c>
      <c r="G26" s="6">
        <v>1.24</v>
      </c>
      <c r="H26" s="6">
        <f t="shared" si="0"/>
        <v>42.573999999999998</v>
      </c>
      <c r="I26" s="6">
        <f t="shared" si="1"/>
        <v>44.31</v>
      </c>
      <c r="J26" t="s">
        <v>1326</v>
      </c>
    </row>
    <row r="27" spans="1:10" x14ac:dyDescent="0.35">
      <c r="A27" t="s">
        <v>746</v>
      </c>
      <c r="B27" s="7" t="s">
        <v>37</v>
      </c>
      <c r="C27" s="4" t="s">
        <v>23</v>
      </c>
      <c r="D27" s="4" t="s">
        <v>10</v>
      </c>
      <c r="E27" s="5" t="s">
        <v>11</v>
      </c>
      <c r="F27" s="6">
        <v>37.19</v>
      </c>
      <c r="G27" s="6">
        <v>2.4</v>
      </c>
      <c r="H27" s="6">
        <f t="shared" si="0"/>
        <v>52.065999999999995</v>
      </c>
      <c r="I27" s="6">
        <f t="shared" si="1"/>
        <v>55.425999999999995</v>
      </c>
      <c r="J27" t="s">
        <v>1327</v>
      </c>
    </row>
    <row r="28" spans="1:10" x14ac:dyDescent="0.35">
      <c r="A28" t="s">
        <v>747</v>
      </c>
      <c r="B28" s="7" t="s">
        <v>1336</v>
      </c>
      <c r="C28" s="4" t="s">
        <v>23</v>
      </c>
      <c r="D28" s="4" t="s">
        <v>10</v>
      </c>
      <c r="E28" s="5" t="s">
        <v>11</v>
      </c>
      <c r="F28" s="6">
        <v>37.19</v>
      </c>
      <c r="G28" s="6">
        <v>2.4</v>
      </c>
      <c r="H28" s="6">
        <f t="shared" si="0"/>
        <v>52.065999999999995</v>
      </c>
      <c r="I28" s="6">
        <f t="shared" si="1"/>
        <v>55.425999999999995</v>
      </c>
      <c r="J28" t="s">
        <v>1328</v>
      </c>
    </row>
    <row r="29" spans="1:10" x14ac:dyDescent="0.35">
      <c r="A29" t="s">
        <v>748</v>
      </c>
      <c r="B29" s="7" t="s">
        <v>38</v>
      </c>
      <c r="C29" s="4" t="s">
        <v>23</v>
      </c>
      <c r="D29" s="4" t="s">
        <v>10</v>
      </c>
      <c r="E29" s="5" t="s">
        <v>11</v>
      </c>
      <c r="F29" s="6">
        <v>37.19</v>
      </c>
      <c r="G29" s="6">
        <v>2.4</v>
      </c>
      <c r="H29" s="6">
        <f t="shared" si="0"/>
        <v>52.065999999999995</v>
      </c>
      <c r="I29" s="6">
        <f t="shared" si="1"/>
        <v>55.425999999999995</v>
      </c>
      <c r="J29" t="s">
        <v>1329</v>
      </c>
    </row>
    <row r="30" spans="1:10" x14ac:dyDescent="0.35">
      <c r="A30" t="s">
        <v>749</v>
      </c>
      <c r="B30" s="7" t="s">
        <v>39</v>
      </c>
      <c r="C30" s="4" t="s">
        <v>23</v>
      </c>
      <c r="D30" s="4" t="s">
        <v>10</v>
      </c>
      <c r="E30" s="5" t="s">
        <v>11</v>
      </c>
      <c r="F30" s="6">
        <v>37.19</v>
      </c>
      <c r="G30" s="6">
        <v>2.4</v>
      </c>
      <c r="H30" s="6">
        <f t="shared" si="0"/>
        <v>52.065999999999995</v>
      </c>
      <c r="I30" s="6">
        <f t="shared" si="1"/>
        <v>55.425999999999995</v>
      </c>
      <c r="J30" t="s">
        <v>1330</v>
      </c>
    </row>
    <row r="31" spans="1:10" x14ac:dyDescent="0.35">
      <c r="A31" t="s">
        <v>750</v>
      </c>
      <c r="B31" s="7" t="s">
        <v>40</v>
      </c>
      <c r="C31" s="4" t="s">
        <v>23</v>
      </c>
      <c r="D31" s="4" t="s">
        <v>10</v>
      </c>
      <c r="E31" s="5" t="s">
        <v>11</v>
      </c>
      <c r="F31" s="6">
        <v>37.19</v>
      </c>
      <c r="G31" s="6">
        <v>2.4</v>
      </c>
      <c r="H31" s="6">
        <f t="shared" si="0"/>
        <v>52.065999999999995</v>
      </c>
      <c r="I31" s="6">
        <f t="shared" si="1"/>
        <v>55.425999999999995</v>
      </c>
      <c r="J31" t="s">
        <v>1331</v>
      </c>
    </row>
    <row r="32" spans="1:10" x14ac:dyDescent="0.35">
      <c r="A32" t="s">
        <v>751</v>
      </c>
      <c r="B32" s="7" t="s">
        <v>38</v>
      </c>
      <c r="C32" s="4" t="s">
        <v>23</v>
      </c>
      <c r="D32" s="4" t="s">
        <v>10</v>
      </c>
      <c r="E32" s="5" t="s">
        <v>11</v>
      </c>
      <c r="F32" s="6">
        <v>37.19</v>
      </c>
      <c r="G32" s="6">
        <v>2.4</v>
      </c>
      <c r="H32" s="6">
        <f t="shared" si="0"/>
        <v>52.065999999999995</v>
      </c>
      <c r="I32" s="6">
        <f t="shared" si="1"/>
        <v>55.425999999999995</v>
      </c>
      <c r="J32" t="s">
        <v>1332</v>
      </c>
    </row>
    <row r="33" spans="1:10" x14ac:dyDescent="0.35">
      <c r="A33" t="s">
        <v>752</v>
      </c>
      <c r="B33" s="7" t="s">
        <v>41</v>
      </c>
      <c r="C33" s="4" t="s">
        <v>23</v>
      </c>
      <c r="D33" s="4" t="s">
        <v>10</v>
      </c>
      <c r="E33" s="5" t="s">
        <v>11</v>
      </c>
      <c r="F33" s="6">
        <v>37.19</v>
      </c>
      <c r="G33" s="6">
        <v>2.4</v>
      </c>
      <c r="H33" s="6">
        <f t="shared" si="0"/>
        <v>52.065999999999995</v>
      </c>
      <c r="I33" s="6">
        <f t="shared" si="1"/>
        <v>55.425999999999995</v>
      </c>
      <c r="J33" t="s">
        <v>1333</v>
      </c>
    </row>
    <row r="34" spans="1:10" x14ac:dyDescent="0.35">
      <c r="A34" t="s">
        <v>753</v>
      </c>
      <c r="B34" s="7" t="s">
        <v>42</v>
      </c>
      <c r="C34" s="4" t="s">
        <v>23</v>
      </c>
      <c r="D34" s="4" t="s">
        <v>10</v>
      </c>
      <c r="E34" s="5" t="s">
        <v>11</v>
      </c>
      <c r="F34" s="6">
        <v>37.19</v>
      </c>
      <c r="G34" s="6">
        <v>2.4</v>
      </c>
      <c r="H34" s="6">
        <f t="shared" si="0"/>
        <v>52.065999999999995</v>
      </c>
      <c r="I34" s="6">
        <f t="shared" si="1"/>
        <v>55.425999999999995</v>
      </c>
      <c r="J34" t="s">
        <v>1334</v>
      </c>
    </row>
    <row r="35" spans="1:10" x14ac:dyDescent="0.35">
      <c r="A35" t="s">
        <v>754</v>
      </c>
      <c r="B35" s="7" t="s">
        <v>43</v>
      </c>
      <c r="C35" s="4" t="s">
        <v>23</v>
      </c>
      <c r="D35" s="4" t="s">
        <v>10</v>
      </c>
      <c r="E35" s="5" t="s">
        <v>11</v>
      </c>
      <c r="F35" s="6">
        <v>37.19</v>
      </c>
      <c r="G35" s="6">
        <v>2.4</v>
      </c>
      <c r="H35" s="6">
        <f t="shared" si="0"/>
        <v>52.065999999999995</v>
      </c>
      <c r="I35" s="6">
        <f t="shared" si="1"/>
        <v>55.425999999999995</v>
      </c>
      <c r="J35" t="s">
        <v>1335</v>
      </c>
    </row>
    <row r="36" spans="1:10" x14ac:dyDescent="0.35">
      <c r="A36" t="s">
        <v>755</v>
      </c>
      <c r="B36" s="7" t="s">
        <v>44</v>
      </c>
      <c r="C36" s="4" t="s">
        <v>23</v>
      </c>
      <c r="D36" s="4" t="s">
        <v>10</v>
      </c>
      <c r="E36" s="5" t="s">
        <v>11</v>
      </c>
      <c r="F36" s="6">
        <v>37.19</v>
      </c>
      <c r="G36" s="6">
        <v>2.4</v>
      </c>
      <c r="H36" s="6">
        <f t="shared" si="0"/>
        <v>52.065999999999995</v>
      </c>
      <c r="I36" s="6">
        <f t="shared" si="1"/>
        <v>55.425999999999995</v>
      </c>
      <c r="J36" t="s">
        <v>1337</v>
      </c>
    </row>
    <row r="37" spans="1:10" x14ac:dyDescent="0.35">
      <c r="A37" t="s">
        <v>756</v>
      </c>
      <c r="B37" s="7" t="s">
        <v>45</v>
      </c>
      <c r="C37" s="4" t="s">
        <v>23</v>
      </c>
      <c r="D37" s="4" t="s">
        <v>10</v>
      </c>
      <c r="E37" s="5" t="s">
        <v>11</v>
      </c>
      <c r="F37" s="6">
        <v>37.19</v>
      </c>
      <c r="G37" s="6">
        <v>2.4</v>
      </c>
      <c r="H37" s="6">
        <f t="shared" si="0"/>
        <v>52.065999999999995</v>
      </c>
      <c r="I37" s="6">
        <f t="shared" si="1"/>
        <v>55.425999999999995</v>
      </c>
      <c r="J37" t="s">
        <v>1338</v>
      </c>
    </row>
    <row r="38" spans="1:10" x14ac:dyDescent="0.35">
      <c r="A38" t="s">
        <v>757</v>
      </c>
      <c r="B38" s="7" t="s">
        <v>46</v>
      </c>
      <c r="C38" s="4" t="s">
        <v>23</v>
      </c>
      <c r="D38" s="4" t="s">
        <v>10</v>
      </c>
      <c r="E38" s="5" t="s">
        <v>11</v>
      </c>
      <c r="F38" s="6">
        <v>37.19</v>
      </c>
      <c r="G38" s="6">
        <v>2.4</v>
      </c>
      <c r="H38" s="6">
        <f t="shared" si="0"/>
        <v>52.065999999999995</v>
      </c>
      <c r="I38" s="6">
        <f t="shared" si="1"/>
        <v>55.425999999999995</v>
      </c>
      <c r="J38" t="s">
        <v>1339</v>
      </c>
    </row>
    <row r="39" spans="1:10" x14ac:dyDescent="0.35">
      <c r="A39" t="s">
        <v>758</v>
      </c>
      <c r="B39" s="7" t="s">
        <v>47</v>
      </c>
      <c r="C39" s="4" t="s">
        <v>23</v>
      </c>
      <c r="D39" s="4" t="s">
        <v>10</v>
      </c>
      <c r="E39" s="5" t="s">
        <v>11</v>
      </c>
      <c r="F39" s="6">
        <v>37.19</v>
      </c>
      <c r="G39" s="6">
        <v>2.4</v>
      </c>
      <c r="H39" s="6">
        <f t="shared" si="0"/>
        <v>52.065999999999995</v>
      </c>
      <c r="I39" s="6">
        <f t="shared" si="1"/>
        <v>55.425999999999995</v>
      </c>
      <c r="J39" t="s">
        <v>1342</v>
      </c>
    </row>
    <row r="40" spans="1:10" x14ac:dyDescent="0.35">
      <c r="A40" t="s">
        <v>759</v>
      </c>
      <c r="B40" s="4" t="s">
        <v>48</v>
      </c>
      <c r="C40" s="4" t="s">
        <v>49</v>
      </c>
      <c r="D40" s="4" t="s">
        <v>10</v>
      </c>
      <c r="E40" s="5" t="s">
        <v>11</v>
      </c>
      <c r="F40" s="6">
        <v>18.559999999999999</v>
      </c>
      <c r="G40" s="6">
        <v>1.2</v>
      </c>
      <c r="H40" s="6">
        <f t="shared" si="0"/>
        <v>25.983999999999998</v>
      </c>
      <c r="I40" s="6">
        <f t="shared" si="1"/>
        <v>27.663999999999998</v>
      </c>
      <c r="J40" t="s">
        <v>1343</v>
      </c>
    </row>
    <row r="41" spans="1:10" x14ac:dyDescent="0.35">
      <c r="A41" t="s">
        <v>760</v>
      </c>
      <c r="B41" s="4" t="s">
        <v>50</v>
      </c>
      <c r="C41" s="4" t="s">
        <v>49</v>
      </c>
      <c r="D41" s="4" t="s">
        <v>10</v>
      </c>
      <c r="E41" s="5" t="s">
        <v>11</v>
      </c>
      <c r="F41" s="6">
        <v>18.559999999999999</v>
      </c>
      <c r="G41" s="6">
        <v>0.6</v>
      </c>
      <c r="H41" s="6">
        <f t="shared" si="0"/>
        <v>25.983999999999998</v>
      </c>
      <c r="I41" s="6">
        <f t="shared" si="1"/>
        <v>26.824000000000002</v>
      </c>
      <c r="J41" t="s">
        <v>1340</v>
      </c>
    </row>
    <row r="42" spans="1:10" x14ac:dyDescent="0.35">
      <c r="A42" t="s">
        <v>761</v>
      </c>
      <c r="B42" s="4" t="s">
        <v>51</v>
      </c>
      <c r="C42" s="4" t="s">
        <v>49</v>
      </c>
      <c r="D42" s="4" t="s">
        <v>10</v>
      </c>
      <c r="E42" s="5" t="s">
        <v>11</v>
      </c>
      <c r="F42" s="6">
        <v>39.19</v>
      </c>
      <c r="G42" s="6">
        <v>0.6</v>
      </c>
      <c r="H42" s="6">
        <f t="shared" si="0"/>
        <v>54.866</v>
      </c>
      <c r="I42" s="6">
        <f t="shared" si="1"/>
        <v>55.706000000000003</v>
      </c>
      <c r="J42" t="s">
        <v>1341</v>
      </c>
    </row>
    <row r="43" spans="1:10" x14ac:dyDescent="0.35">
      <c r="A43" t="s">
        <v>762</v>
      </c>
      <c r="B43" s="4" t="s">
        <v>52</v>
      </c>
      <c r="C43" s="4" t="s">
        <v>49</v>
      </c>
      <c r="D43" s="4" t="s">
        <v>10</v>
      </c>
      <c r="E43" s="5" t="s">
        <v>11</v>
      </c>
      <c r="F43" s="6">
        <v>18</v>
      </c>
      <c r="G43" s="6">
        <v>0.4</v>
      </c>
      <c r="H43" s="6">
        <f t="shared" si="0"/>
        <v>25.2</v>
      </c>
      <c r="I43" s="6">
        <f t="shared" si="1"/>
        <v>25.759999999999998</v>
      </c>
      <c r="J43" t="s">
        <v>1344</v>
      </c>
    </row>
    <row r="44" spans="1:10" x14ac:dyDescent="0.35">
      <c r="A44" t="s">
        <v>763</v>
      </c>
      <c r="B44" s="4" t="s">
        <v>53</v>
      </c>
      <c r="C44" s="4" t="s">
        <v>49</v>
      </c>
      <c r="D44" s="4" t="s">
        <v>10</v>
      </c>
      <c r="E44" s="5" t="s">
        <v>11</v>
      </c>
      <c r="F44" s="6">
        <v>39.880000000000003</v>
      </c>
      <c r="G44" s="6">
        <v>0.6</v>
      </c>
      <c r="H44" s="6">
        <f t="shared" si="0"/>
        <v>55.832000000000008</v>
      </c>
      <c r="I44" s="6">
        <f t="shared" si="1"/>
        <v>56.672000000000011</v>
      </c>
      <c r="J44" t="s">
        <v>1345</v>
      </c>
    </row>
    <row r="45" spans="1:10" x14ac:dyDescent="0.35">
      <c r="A45" t="s">
        <v>764</v>
      </c>
      <c r="B45" s="4" t="s">
        <v>54</v>
      </c>
      <c r="C45" s="4" t="s">
        <v>55</v>
      </c>
      <c r="D45" s="4" t="s">
        <v>10</v>
      </c>
      <c r="E45" s="5" t="s">
        <v>11</v>
      </c>
      <c r="F45" s="6">
        <v>33.340000000000003</v>
      </c>
      <c r="G45" s="6">
        <v>2.4</v>
      </c>
      <c r="H45" s="6">
        <f t="shared" si="0"/>
        <v>46.676000000000002</v>
      </c>
      <c r="I45" s="6">
        <f t="shared" si="1"/>
        <v>50.036000000000001</v>
      </c>
      <c r="J45" t="s">
        <v>1346</v>
      </c>
    </row>
    <row r="46" spans="1:10" x14ac:dyDescent="0.35">
      <c r="A46" t="s">
        <v>765</v>
      </c>
      <c r="B46" s="4" t="s">
        <v>56</v>
      </c>
      <c r="C46" s="4" t="s">
        <v>55</v>
      </c>
      <c r="D46" s="4" t="s">
        <v>10</v>
      </c>
      <c r="E46" s="5" t="s">
        <v>11</v>
      </c>
      <c r="F46" s="6">
        <v>33.340000000000003</v>
      </c>
      <c r="G46" s="6">
        <v>2.4</v>
      </c>
      <c r="H46" s="6">
        <f t="shared" si="0"/>
        <v>46.676000000000002</v>
      </c>
      <c r="I46" s="6">
        <f t="shared" si="1"/>
        <v>50.036000000000001</v>
      </c>
      <c r="J46" t="s">
        <v>1347</v>
      </c>
    </row>
    <row r="47" spans="1:10" x14ac:dyDescent="0.35">
      <c r="A47" t="s">
        <v>766</v>
      </c>
      <c r="B47" s="4" t="s">
        <v>57</v>
      </c>
      <c r="C47" s="4" t="s">
        <v>55</v>
      </c>
      <c r="D47" s="4" t="s">
        <v>10</v>
      </c>
      <c r="E47" s="5" t="s">
        <v>11</v>
      </c>
      <c r="F47" s="6">
        <v>33.340000000000003</v>
      </c>
      <c r="G47" s="6">
        <v>2.4</v>
      </c>
      <c r="H47" s="6">
        <f t="shared" si="0"/>
        <v>46.676000000000002</v>
      </c>
      <c r="I47" s="6">
        <f t="shared" si="1"/>
        <v>50.036000000000001</v>
      </c>
      <c r="J47" t="s">
        <v>1348</v>
      </c>
    </row>
    <row r="48" spans="1:10" x14ac:dyDescent="0.35">
      <c r="A48" t="s">
        <v>767</v>
      </c>
      <c r="B48" s="4" t="s">
        <v>58</v>
      </c>
      <c r="C48" s="4" t="s">
        <v>55</v>
      </c>
      <c r="D48" s="4" t="s">
        <v>10</v>
      </c>
      <c r="E48" s="5" t="s">
        <v>11</v>
      </c>
      <c r="F48" s="6">
        <v>33.340000000000003</v>
      </c>
      <c r="G48" s="6">
        <v>2.4</v>
      </c>
      <c r="H48" s="6">
        <f t="shared" si="0"/>
        <v>46.676000000000002</v>
      </c>
      <c r="I48" s="6">
        <f t="shared" si="1"/>
        <v>50.036000000000001</v>
      </c>
      <c r="J48" t="s">
        <v>1349</v>
      </c>
    </row>
    <row r="49" spans="1:10" x14ac:dyDescent="0.35">
      <c r="A49" t="s">
        <v>768</v>
      </c>
      <c r="B49" s="4" t="s">
        <v>64</v>
      </c>
      <c r="C49" s="4" t="s">
        <v>60</v>
      </c>
      <c r="D49" s="4" t="s">
        <v>10</v>
      </c>
      <c r="E49" s="5" t="s">
        <v>11</v>
      </c>
      <c r="F49" s="6">
        <v>30</v>
      </c>
      <c r="G49" s="6">
        <v>0</v>
      </c>
      <c r="H49" s="6">
        <f>(F49*0.4)+F49</f>
        <v>42</v>
      </c>
      <c r="I49" s="6">
        <f>((F49+G49)*0.4)+(F49+G49)</f>
        <v>42</v>
      </c>
      <c r="J49" t="s">
        <v>1350</v>
      </c>
    </row>
    <row r="50" spans="1:10" x14ac:dyDescent="0.35">
      <c r="A50" t="s">
        <v>769</v>
      </c>
      <c r="B50" s="4" t="s">
        <v>63</v>
      </c>
      <c r="C50" s="4" t="s">
        <v>60</v>
      </c>
      <c r="D50" s="4" t="s">
        <v>10</v>
      </c>
      <c r="E50" s="5" t="s">
        <v>11</v>
      </c>
      <c r="F50" s="6">
        <v>30</v>
      </c>
      <c r="G50" s="6">
        <v>0</v>
      </c>
      <c r="H50" s="6">
        <f>(F50*0.4)+F50</f>
        <v>42</v>
      </c>
      <c r="I50" s="6">
        <f>((F50+G50)*0.4)+(F50+G50)</f>
        <v>42</v>
      </c>
      <c r="J50" t="s">
        <v>1351</v>
      </c>
    </row>
    <row r="51" spans="1:10" x14ac:dyDescent="0.35">
      <c r="A51" t="s">
        <v>770</v>
      </c>
      <c r="B51" s="4" t="s">
        <v>65</v>
      </c>
      <c r="C51" s="4" t="s">
        <v>60</v>
      </c>
      <c r="D51" s="4" t="s">
        <v>10</v>
      </c>
      <c r="E51" s="5" t="s">
        <v>11</v>
      </c>
      <c r="F51" s="6">
        <v>30</v>
      </c>
      <c r="G51" s="6">
        <v>0</v>
      </c>
      <c r="H51" s="6">
        <f>(F51*0.4)+F51</f>
        <v>42</v>
      </c>
      <c r="I51" s="6">
        <f>((F51+G51)*0.4)+(F51+G51)</f>
        <v>42</v>
      </c>
      <c r="J51" t="s">
        <v>1352</v>
      </c>
    </row>
    <row r="52" spans="1:10" x14ac:dyDescent="0.35">
      <c r="A52" t="s">
        <v>771</v>
      </c>
      <c r="B52" s="4" t="s">
        <v>70</v>
      </c>
      <c r="C52" s="4" t="s">
        <v>71</v>
      </c>
      <c r="D52" s="4" t="s">
        <v>10</v>
      </c>
      <c r="E52" s="5" t="s">
        <v>11</v>
      </c>
      <c r="F52" s="6">
        <v>22.21</v>
      </c>
      <c r="G52" s="6">
        <v>1.2</v>
      </c>
      <c r="H52" s="6">
        <f>(F52*0.4)+F52</f>
        <v>31.094000000000001</v>
      </c>
      <c r="I52" s="6">
        <f>((F52+G52)*0.4)+(F52+G52)</f>
        <v>32.774000000000001</v>
      </c>
      <c r="J52" t="s">
        <v>1353</v>
      </c>
    </row>
    <row r="53" spans="1:10" x14ac:dyDescent="0.35">
      <c r="A53" t="s">
        <v>772</v>
      </c>
      <c r="B53" s="4" t="s">
        <v>72</v>
      </c>
      <c r="C53" s="4" t="s">
        <v>71</v>
      </c>
      <c r="D53" s="4" t="s">
        <v>10</v>
      </c>
      <c r="E53" s="5" t="s">
        <v>11</v>
      </c>
      <c r="F53" s="6">
        <v>22.21</v>
      </c>
      <c r="G53" s="6">
        <v>1.2</v>
      </c>
      <c r="J53" t="s">
        <v>1354</v>
      </c>
    </row>
    <row r="54" spans="1:10" x14ac:dyDescent="0.35">
      <c r="A54" t="s">
        <v>773</v>
      </c>
      <c r="B54" s="4" t="s">
        <v>73</v>
      </c>
      <c r="C54" s="4" t="s">
        <v>71</v>
      </c>
      <c r="D54" s="4" t="s">
        <v>10</v>
      </c>
      <c r="E54" s="5" t="s">
        <v>11</v>
      </c>
      <c r="F54" s="6">
        <v>22.21</v>
      </c>
      <c r="G54" s="6">
        <v>1.2</v>
      </c>
      <c r="J54" t="s">
        <v>1355</v>
      </c>
    </row>
    <row r="55" spans="1:10" x14ac:dyDescent="0.35">
      <c r="A55" t="s">
        <v>774</v>
      </c>
      <c r="B55" s="4" t="s">
        <v>74</v>
      </c>
      <c r="C55" s="4" t="s">
        <v>71</v>
      </c>
      <c r="D55" s="4" t="s">
        <v>10</v>
      </c>
      <c r="E55" s="5" t="s">
        <v>11</v>
      </c>
      <c r="F55" s="6">
        <v>22.21</v>
      </c>
      <c r="G55" s="6">
        <v>1.2</v>
      </c>
      <c r="J55" t="s">
        <v>1356</v>
      </c>
    </row>
    <row r="56" spans="1:10" x14ac:dyDescent="0.35">
      <c r="A56" t="s">
        <v>775</v>
      </c>
      <c r="B56" s="4" t="s">
        <v>75</v>
      </c>
      <c r="C56" s="4" t="s">
        <v>71</v>
      </c>
      <c r="D56" s="4" t="s">
        <v>10</v>
      </c>
      <c r="E56" s="5" t="s">
        <v>11</v>
      </c>
      <c r="F56" s="6">
        <v>22.21</v>
      </c>
      <c r="G56" s="6">
        <v>1.2</v>
      </c>
      <c r="J56" t="s">
        <v>1357</v>
      </c>
    </row>
    <row r="57" spans="1:10" x14ac:dyDescent="0.35">
      <c r="A57" t="s">
        <v>776</v>
      </c>
      <c r="B57" s="4" t="s">
        <v>76</v>
      </c>
      <c r="C57" s="4" t="s">
        <v>71</v>
      </c>
      <c r="D57" s="4" t="s">
        <v>10</v>
      </c>
      <c r="E57" s="5" t="s">
        <v>11</v>
      </c>
      <c r="F57" s="6">
        <v>22.21</v>
      </c>
      <c r="G57" s="6">
        <v>1.2</v>
      </c>
      <c r="J57" t="s">
        <v>1358</v>
      </c>
    </row>
    <row r="58" spans="1:10" x14ac:dyDescent="0.35">
      <c r="A58" t="s">
        <v>777</v>
      </c>
      <c r="B58" s="4" t="s">
        <v>77</v>
      </c>
      <c r="C58" s="4" t="s">
        <v>71</v>
      </c>
      <c r="D58" s="4" t="s">
        <v>10</v>
      </c>
      <c r="E58" s="5" t="s">
        <v>11</v>
      </c>
      <c r="F58" s="6">
        <v>32.340000000000003</v>
      </c>
      <c r="G58" s="6">
        <v>2.4</v>
      </c>
      <c r="J58" t="s">
        <v>1359</v>
      </c>
    </row>
    <row r="59" spans="1:10" x14ac:dyDescent="0.35">
      <c r="A59" t="s">
        <v>778</v>
      </c>
      <c r="B59" s="4" t="s">
        <v>78</v>
      </c>
      <c r="C59" s="4" t="s">
        <v>79</v>
      </c>
      <c r="D59" s="4" t="s">
        <v>10</v>
      </c>
      <c r="E59" s="5" t="s">
        <v>11</v>
      </c>
      <c r="F59" s="6">
        <v>37.9</v>
      </c>
      <c r="G59" s="6">
        <v>1.2</v>
      </c>
      <c r="J59" t="s">
        <v>1360</v>
      </c>
    </row>
    <row r="60" spans="1:10" x14ac:dyDescent="0.35">
      <c r="A60" t="s">
        <v>779</v>
      </c>
      <c r="B60" s="4" t="s">
        <v>80</v>
      </c>
      <c r="C60" s="4" t="s">
        <v>79</v>
      </c>
      <c r="D60" s="4" t="s">
        <v>10</v>
      </c>
      <c r="E60" s="5" t="s">
        <v>11</v>
      </c>
      <c r="F60" s="6">
        <v>37.9</v>
      </c>
      <c r="G60" s="6">
        <v>1.2</v>
      </c>
      <c r="J60" t="s">
        <v>1361</v>
      </c>
    </row>
    <row r="61" spans="1:10" x14ac:dyDescent="0.35">
      <c r="A61" t="s">
        <v>780</v>
      </c>
      <c r="B61" s="4" t="s">
        <v>81</v>
      </c>
      <c r="C61" s="4" t="s">
        <v>79</v>
      </c>
      <c r="D61" s="4" t="s">
        <v>10</v>
      </c>
      <c r="E61" s="5" t="s">
        <v>11</v>
      </c>
      <c r="F61" s="6">
        <v>37.9</v>
      </c>
      <c r="G61" s="6">
        <v>1.2</v>
      </c>
      <c r="J61" t="s">
        <v>1362</v>
      </c>
    </row>
    <row r="62" spans="1:10" x14ac:dyDescent="0.35">
      <c r="A62" t="s">
        <v>781</v>
      </c>
      <c r="B62" s="4" t="s">
        <v>82</v>
      </c>
      <c r="C62" s="4" t="s">
        <v>83</v>
      </c>
      <c r="D62" s="4" t="s">
        <v>10</v>
      </c>
      <c r="E62" s="5" t="s">
        <v>11</v>
      </c>
      <c r="F62" s="6">
        <v>18.59</v>
      </c>
      <c r="G62" s="6">
        <v>1.2</v>
      </c>
      <c r="H62" s="6">
        <f t="shared" si="0"/>
        <v>26.026</v>
      </c>
      <c r="I62" s="6">
        <f t="shared" si="1"/>
        <v>27.706</v>
      </c>
      <c r="J62" t="s">
        <v>1363</v>
      </c>
    </row>
    <row r="63" spans="1:10" x14ac:dyDescent="0.35">
      <c r="A63" t="s">
        <v>782</v>
      </c>
      <c r="B63" s="4" t="s">
        <v>84</v>
      </c>
      <c r="C63" s="4" t="s">
        <v>83</v>
      </c>
      <c r="D63" s="4" t="s">
        <v>10</v>
      </c>
      <c r="E63" s="5" t="s">
        <v>11</v>
      </c>
      <c r="F63" s="6">
        <v>18.59</v>
      </c>
      <c r="G63" s="6">
        <v>1.2</v>
      </c>
      <c r="H63" s="6">
        <f t="shared" si="0"/>
        <v>26.026</v>
      </c>
      <c r="I63" s="6">
        <f t="shared" si="1"/>
        <v>27.706</v>
      </c>
      <c r="J63" t="s">
        <v>1364</v>
      </c>
    </row>
    <row r="64" spans="1:10" x14ac:dyDescent="0.35">
      <c r="A64" t="s">
        <v>783</v>
      </c>
      <c r="B64" s="4" t="s">
        <v>85</v>
      </c>
      <c r="C64" s="4" t="s">
        <v>83</v>
      </c>
      <c r="D64" s="4" t="s">
        <v>10</v>
      </c>
      <c r="E64" s="5" t="s">
        <v>11</v>
      </c>
      <c r="F64" s="6">
        <v>18.59</v>
      </c>
      <c r="G64" s="6">
        <v>1.2</v>
      </c>
      <c r="H64" s="6">
        <f t="shared" si="0"/>
        <v>26.026</v>
      </c>
      <c r="I64" s="6">
        <f t="shared" si="1"/>
        <v>27.706</v>
      </c>
      <c r="J64" t="s">
        <v>1365</v>
      </c>
    </row>
    <row r="65" spans="1:10" x14ac:dyDescent="0.35">
      <c r="A65" t="s">
        <v>784</v>
      </c>
      <c r="B65" s="4" t="s">
        <v>86</v>
      </c>
      <c r="C65" s="4" t="s">
        <v>83</v>
      </c>
      <c r="D65" s="4" t="s">
        <v>10</v>
      </c>
      <c r="E65" s="5" t="s">
        <v>11</v>
      </c>
      <c r="F65" s="6">
        <v>22.21</v>
      </c>
      <c r="G65" s="6">
        <v>1.2</v>
      </c>
      <c r="H65" s="6">
        <f t="shared" si="0"/>
        <v>31.094000000000001</v>
      </c>
      <c r="I65" s="6">
        <f t="shared" si="1"/>
        <v>32.774000000000001</v>
      </c>
      <c r="J65" t="s">
        <v>1366</v>
      </c>
    </row>
    <row r="66" spans="1:10" x14ac:dyDescent="0.35">
      <c r="A66" t="s">
        <v>785</v>
      </c>
      <c r="B66" s="4" t="s">
        <v>87</v>
      </c>
      <c r="C66" s="4" t="s">
        <v>88</v>
      </c>
      <c r="D66" s="4" t="s">
        <v>10</v>
      </c>
      <c r="E66" s="5" t="s">
        <v>11</v>
      </c>
      <c r="F66" s="6">
        <v>22.21</v>
      </c>
      <c r="G66" s="6">
        <v>1.2</v>
      </c>
      <c r="H66" s="6">
        <f t="shared" si="0"/>
        <v>31.094000000000001</v>
      </c>
      <c r="I66" s="6">
        <f t="shared" si="1"/>
        <v>32.774000000000001</v>
      </c>
      <c r="J66" t="s">
        <v>1367</v>
      </c>
    </row>
    <row r="67" spans="1:10" x14ac:dyDescent="0.35">
      <c r="A67" t="s">
        <v>786</v>
      </c>
      <c r="B67" s="4" t="s">
        <v>89</v>
      </c>
      <c r="C67" s="4" t="s">
        <v>88</v>
      </c>
      <c r="D67" s="4" t="s">
        <v>10</v>
      </c>
      <c r="E67" s="5" t="s">
        <v>11</v>
      </c>
      <c r="F67" s="6">
        <v>22.21</v>
      </c>
      <c r="G67" s="6">
        <v>1.2</v>
      </c>
      <c r="H67" s="6">
        <f t="shared" si="0"/>
        <v>31.094000000000001</v>
      </c>
      <c r="I67" s="6">
        <f t="shared" si="1"/>
        <v>32.774000000000001</v>
      </c>
      <c r="J67" t="s">
        <v>1368</v>
      </c>
    </row>
    <row r="68" spans="1:10" x14ac:dyDescent="0.35">
      <c r="A68" t="s">
        <v>787</v>
      </c>
      <c r="B68" s="4" t="s">
        <v>59</v>
      </c>
      <c r="C68" s="4" t="s">
        <v>60</v>
      </c>
      <c r="D68" s="4" t="s">
        <v>10</v>
      </c>
      <c r="E68" s="5" t="s">
        <v>11</v>
      </c>
      <c r="F68" s="6">
        <v>22.21</v>
      </c>
      <c r="G68" s="6">
        <v>1.2</v>
      </c>
      <c r="H68" s="6">
        <f t="shared" si="0"/>
        <v>31.094000000000001</v>
      </c>
      <c r="I68" s="6">
        <f t="shared" si="1"/>
        <v>32.774000000000001</v>
      </c>
      <c r="J68" t="s">
        <v>1369</v>
      </c>
    </row>
    <row r="69" spans="1:10" x14ac:dyDescent="0.35">
      <c r="A69" t="s">
        <v>788</v>
      </c>
      <c r="B69" s="4" t="s">
        <v>61</v>
      </c>
      <c r="C69" s="4" t="s">
        <v>60</v>
      </c>
      <c r="D69" s="4" t="s">
        <v>10</v>
      </c>
      <c r="E69" s="5" t="s">
        <v>11</v>
      </c>
      <c r="F69" s="6">
        <v>22.21</v>
      </c>
      <c r="G69" s="6">
        <v>1.2</v>
      </c>
      <c r="H69" s="6">
        <f t="shared" si="0"/>
        <v>31.094000000000001</v>
      </c>
      <c r="I69" s="6">
        <f t="shared" si="1"/>
        <v>32.774000000000001</v>
      </c>
      <c r="J69" t="s">
        <v>1370</v>
      </c>
    </row>
    <row r="70" spans="1:10" x14ac:dyDescent="0.35">
      <c r="A70" t="s">
        <v>789</v>
      </c>
      <c r="B70" s="4" t="s">
        <v>62</v>
      </c>
      <c r="C70" s="4" t="s">
        <v>60</v>
      </c>
      <c r="D70" s="4" t="s">
        <v>10</v>
      </c>
      <c r="E70" s="5" t="s">
        <v>11</v>
      </c>
      <c r="F70" s="6">
        <v>22.21</v>
      </c>
      <c r="G70" s="6">
        <v>1.2</v>
      </c>
      <c r="H70" s="6">
        <f t="shared" si="0"/>
        <v>31.094000000000001</v>
      </c>
      <c r="I70" s="6">
        <f t="shared" si="1"/>
        <v>32.774000000000001</v>
      </c>
      <c r="J70" t="s">
        <v>1371</v>
      </c>
    </row>
    <row r="71" spans="1:10" x14ac:dyDescent="0.35">
      <c r="A71" t="s">
        <v>790</v>
      </c>
      <c r="B71" s="4" t="s">
        <v>66</v>
      </c>
      <c r="C71" s="4" t="s">
        <v>67</v>
      </c>
      <c r="D71" s="4" t="s">
        <v>10</v>
      </c>
      <c r="E71" s="5" t="s">
        <v>11</v>
      </c>
      <c r="F71" s="6">
        <v>37.9</v>
      </c>
      <c r="G71" s="6">
        <v>0</v>
      </c>
      <c r="H71" s="6">
        <f t="shared" ref="H71:H130" si="2">(F71*0.4)+F71</f>
        <v>53.06</v>
      </c>
      <c r="I71" s="6">
        <f t="shared" ref="I71:I130" si="3">((F71+G71)*0.4)+(F71+G71)</f>
        <v>53.06</v>
      </c>
      <c r="J71" t="s">
        <v>1372</v>
      </c>
    </row>
    <row r="72" spans="1:10" x14ac:dyDescent="0.35">
      <c r="A72" t="s">
        <v>791</v>
      </c>
      <c r="B72" s="4" t="s">
        <v>68</v>
      </c>
      <c r="C72" s="4" t="s">
        <v>67</v>
      </c>
      <c r="D72" s="4" t="s">
        <v>10</v>
      </c>
      <c r="E72" s="5" t="s">
        <v>11</v>
      </c>
      <c r="F72" s="6">
        <v>22.8</v>
      </c>
      <c r="G72" s="6">
        <v>1.2</v>
      </c>
      <c r="H72" s="6">
        <f t="shared" si="2"/>
        <v>31.92</v>
      </c>
      <c r="I72" s="6">
        <f t="shared" si="3"/>
        <v>33.6</v>
      </c>
      <c r="J72" t="s">
        <v>1373</v>
      </c>
    </row>
    <row r="73" spans="1:10" x14ac:dyDescent="0.35">
      <c r="A73" t="s">
        <v>792</v>
      </c>
      <c r="B73" s="4" t="s">
        <v>69</v>
      </c>
      <c r="C73" s="4" t="s">
        <v>67</v>
      </c>
      <c r="D73" s="4" t="s">
        <v>10</v>
      </c>
      <c r="E73" s="5" t="s">
        <v>11</v>
      </c>
      <c r="F73" s="6">
        <v>22.8</v>
      </c>
      <c r="G73" s="6">
        <v>1.2</v>
      </c>
      <c r="H73" s="6">
        <f t="shared" si="2"/>
        <v>31.92</v>
      </c>
      <c r="I73" s="6">
        <f t="shared" si="3"/>
        <v>33.6</v>
      </c>
      <c r="J73" t="s">
        <v>1374</v>
      </c>
    </row>
    <row r="74" spans="1:10" x14ac:dyDescent="0.35">
      <c r="A74" t="s">
        <v>793</v>
      </c>
      <c r="B74" s="4" t="s">
        <v>90</v>
      </c>
      <c r="C74" s="4" t="s">
        <v>91</v>
      </c>
      <c r="D74" s="4" t="s">
        <v>92</v>
      </c>
      <c r="E74" s="4" t="s">
        <v>93</v>
      </c>
      <c r="F74" s="6">
        <v>32.03</v>
      </c>
      <c r="G74" s="6">
        <v>1.2</v>
      </c>
      <c r="H74" s="6">
        <f t="shared" si="2"/>
        <v>44.841999999999999</v>
      </c>
      <c r="I74" s="6">
        <f t="shared" si="3"/>
        <v>46.522000000000006</v>
      </c>
      <c r="J74" t="s">
        <v>1375</v>
      </c>
    </row>
    <row r="75" spans="1:10" x14ac:dyDescent="0.35">
      <c r="A75" t="s">
        <v>794</v>
      </c>
      <c r="B75" s="4" t="s">
        <v>94</v>
      </c>
      <c r="C75" s="4" t="s">
        <v>91</v>
      </c>
      <c r="D75" s="4" t="s">
        <v>92</v>
      </c>
      <c r="E75" s="4" t="s">
        <v>93</v>
      </c>
      <c r="F75" s="6">
        <v>37</v>
      </c>
      <c r="G75" s="6">
        <v>1.2</v>
      </c>
      <c r="H75" s="6">
        <f t="shared" si="2"/>
        <v>51.8</v>
      </c>
      <c r="I75" s="6">
        <f t="shared" si="3"/>
        <v>53.480000000000004</v>
      </c>
      <c r="J75" t="s">
        <v>1376</v>
      </c>
    </row>
    <row r="76" spans="1:10" x14ac:dyDescent="0.35">
      <c r="A76" t="s">
        <v>795</v>
      </c>
      <c r="B76" s="4" t="s">
        <v>95</v>
      </c>
      <c r="C76" s="4" t="s">
        <v>96</v>
      </c>
      <c r="D76" s="4" t="s">
        <v>92</v>
      </c>
      <c r="E76" s="4" t="s">
        <v>93</v>
      </c>
      <c r="F76" s="6">
        <v>30.8</v>
      </c>
      <c r="G76" s="6">
        <v>1.2</v>
      </c>
      <c r="H76" s="6">
        <f t="shared" si="2"/>
        <v>43.120000000000005</v>
      </c>
      <c r="I76" s="6">
        <f t="shared" si="3"/>
        <v>44.8</v>
      </c>
      <c r="J76" t="s">
        <v>1377</v>
      </c>
    </row>
    <row r="77" spans="1:10" x14ac:dyDescent="0.35">
      <c r="A77" t="s">
        <v>796</v>
      </c>
      <c r="B77" s="4" t="s">
        <v>97</v>
      </c>
      <c r="C77" s="4" t="s">
        <v>98</v>
      </c>
      <c r="D77" s="4" t="s">
        <v>92</v>
      </c>
      <c r="E77" s="4" t="s">
        <v>93</v>
      </c>
      <c r="F77" s="6">
        <v>28</v>
      </c>
      <c r="G77" s="6">
        <v>1.2</v>
      </c>
      <c r="H77" s="6">
        <f t="shared" si="2"/>
        <v>39.200000000000003</v>
      </c>
      <c r="I77" s="6">
        <f t="shared" si="3"/>
        <v>40.879999999999995</v>
      </c>
      <c r="J77" t="s">
        <v>1378</v>
      </c>
    </row>
    <row r="78" spans="1:10" x14ac:dyDescent="0.35">
      <c r="A78" t="s">
        <v>797</v>
      </c>
      <c r="B78" s="4" t="s">
        <v>99</v>
      </c>
      <c r="C78" s="4" t="s">
        <v>100</v>
      </c>
      <c r="D78" s="4" t="s">
        <v>92</v>
      </c>
      <c r="E78" s="4" t="s">
        <v>93</v>
      </c>
      <c r="F78" s="6">
        <v>34.5</v>
      </c>
      <c r="G78" s="6">
        <v>1.2</v>
      </c>
      <c r="H78" s="6">
        <f t="shared" si="2"/>
        <v>48.3</v>
      </c>
      <c r="I78" s="6">
        <f t="shared" si="3"/>
        <v>49.980000000000004</v>
      </c>
      <c r="J78" t="s">
        <v>1379</v>
      </c>
    </row>
    <row r="79" spans="1:10" x14ac:dyDescent="0.35">
      <c r="A79" t="s">
        <v>798</v>
      </c>
      <c r="B79" s="4" t="s">
        <v>101</v>
      </c>
      <c r="C79" s="4" t="s">
        <v>102</v>
      </c>
      <c r="D79" s="4" t="s">
        <v>92</v>
      </c>
      <c r="E79" s="4" t="s">
        <v>93</v>
      </c>
      <c r="F79" s="6">
        <v>20.63</v>
      </c>
      <c r="G79" s="6">
        <v>1.2</v>
      </c>
      <c r="H79" s="6">
        <f t="shared" si="2"/>
        <v>28.881999999999998</v>
      </c>
      <c r="I79" s="6">
        <f t="shared" si="3"/>
        <v>30.561999999999998</v>
      </c>
      <c r="J79" t="s">
        <v>1380</v>
      </c>
    </row>
    <row r="80" spans="1:10" x14ac:dyDescent="0.35">
      <c r="A80" t="s">
        <v>799</v>
      </c>
      <c r="B80" s="4" t="s">
        <v>103</v>
      </c>
      <c r="C80" s="4" t="s">
        <v>102</v>
      </c>
      <c r="D80" s="4" t="s">
        <v>92</v>
      </c>
      <c r="E80" s="4" t="s">
        <v>93</v>
      </c>
      <c r="F80" s="6">
        <v>17.88</v>
      </c>
      <c r="G80" s="6">
        <v>0</v>
      </c>
      <c r="H80" s="6">
        <f t="shared" si="2"/>
        <v>25.032</v>
      </c>
      <c r="I80" s="6">
        <f t="shared" si="3"/>
        <v>25.032</v>
      </c>
      <c r="J80" t="s">
        <v>1381</v>
      </c>
    </row>
    <row r="81" spans="1:10" x14ac:dyDescent="0.35">
      <c r="A81" t="s">
        <v>800</v>
      </c>
      <c r="B81" s="4" t="s">
        <v>104</v>
      </c>
      <c r="C81" s="4" t="s">
        <v>102</v>
      </c>
      <c r="D81" s="4" t="s">
        <v>92</v>
      </c>
      <c r="E81" s="4" t="s">
        <v>93</v>
      </c>
      <c r="F81" s="6">
        <v>23.56</v>
      </c>
      <c r="G81" s="6">
        <v>0</v>
      </c>
      <c r="H81" s="6">
        <f t="shared" si="2"/>
        <v>32.983999999999995</v>
      </c>
      <c r="I81" s="6">
        <f t="shared" si="3"/>
        <v>32.983999999999995</v>
      </c>
      <c r="J81" t="s">
        <v>1382</v>
      </c>
    </row>
    <row r="82" spans="1:10" x14ac:dyDescent="0.35">
      <c r="A82" t="s">
        <v>801</v>
      </c>
      <c r="B82" s="4" t="s">
        <v>105</v>
      </c>
      <c r="C82" s="4" t="s">
        <v>102</v>
      </c>
      <c r="D82" s="4" t="s">
        <v>92</v>
      </c>
      <c r="E82" s="4" t="s">
        <v>93</v>
      </c>
      <c r="F82" s="6">
        <v>47.52</v>
      </c>
      <c r="G82" s="6">
        <v>1.2</v>
      </c>
      <c r="H82" s="6">
        <f t="shared" si="2"/>
        <v>66.528000000000006</v>
      </c>
      <c r="I82" s="6">
        <f t="shared" si="3"/>
        <v>68.208000000000013</v>
      </c>
      <c r="J82" t="s">
        <v>1383</v>
      </c>
    </row>
    <row r="83" spans="1:10" x14ac:dyDescent="0.35">
      <c r="A83" t="s">
        <v>802</v>
      </c>
      <c r="B83" s="4" t="s">
        <v>105</v>
      </c>
      <c r="C83" s="4" t="s">
        <v>106</v>
      </c>
      <c r="D83" s="4" t="s">
        <v>92</v>
      </c>
      <c r="E83" s="4" t="s">
        <v>93</v>
      </c>
      <c r="F83" s="6">
        <v>47.52</v>
      </c>
      <c r="G83" s="6">
        <v>1.2</v>
      </c>
      <c r="H83" s="6">
        <f t="shared" si="2"/>
        <v>66.528000000000006</v>
      </c>
      <c r="I83" s="6">
        <f t="shared" si="3"/>
        <v>68.208000000000013</v>
      </c>
      <c r="J83" t="s">
        <v>1384</v>
      </c>
    </row>
    <row r="84" spans="1:10" x14ac:dyDescent="0.35">
      <c r="A84" t="s">
        <v>803</v>
      </c>
      <c r="B84" s="4" t="s">
        <v>107</v>
      </c>
      <c r="C84" s="4" t="s">
        <v>106</v>
      </c>
      <c r="D84" s="4" t="s">
        <v>92</v>
      </c>
      <c r="E84" s="4" t="s">
        <v>93</v>
      </c>
      <c r="F84" s="6">
        <v>19.309999999999999</v>
      </c>
      <c r="G84" s="6">
        <v>0</v>
      </c>
      <c r="H84" s="6">
        <f t="shared" si="2"/>
        <v>27.033999999999999</v>
      </c>
      <c r="I84" s="6">
        <f t="shared" si="3"/>
        <v>27.033999999999999</v>
      </c>
      <c r="J84" t="s">
        <v>1385</v>
      </c>
    </row>
    <row r="85" spans="1:10" x14ac:dyDescent="0.35">
      <c r="A85" t="s">
        <v>804</v>
      </c>
      <c r="B85" s="4" t="s">
        <v>104</v>
      </c>
      <c r="C85" s="4" t="s">
        <v>106</v>
      </c>
      <c r="D85" s="4" t="s">
        <v>92</v>
      </c>
      <c r="E85" s="4" t="s">
        <v>93</v>
      </c>
      <c r="F85" s="6">
        <v>23.56</v>
      </c>
      <c r="G85" s="6">
        <v>0</v>
      </c>
      <c r="H85" s="6">
        <f t="shared" si="2"/>
        <v>32.983999999999995</v>
      </c>
      <c r="I85" s="6">
        <f t="shared" si="3"/>
        <v>32.983999999999995</v>
      </c>
      <c r="J85" t="s">
        <v>1386</v>
      </c>
    </row>
    <row r="86" spans="1:10" x14ac:dyDescent="0.35">
      <c r="A86" t="s">
        <v>805</v>
      </c>
      <c r="B86" s="4" t="s">
        <v>101</v>
      </c>
      <c r="C86" s="4" t="s">
        <v>108</v>
      </c>
      <c r="D86" s="4" t="s">
        <v>92</v>
      </c>
      <c r="E86" s="4" t="s">
        <v>93</v>
      </c>
      <c r="F86" s="6">
        <v>20.46</v>
      </c>
      <c r="G86" s="6">
        <v>1.2</v>
      </c>
      <c r="H86" s="6">
        <f t="shared" si="2"/>
        <v>28.644000000000002</v>
      </c>
      <c r="I86" s="6">
        <f t="shared" si="3"/>
        <v>30.323999999999998</v>
      </c>
      <c r="J86" t="s">
        <v>1387</v>
      </c>
    </row>
    <row r="87" spans="1:10" x14ac:dyDescent="0.35">
      <c r="A87" t="s">
        <v>806</v>
      </c>
      <c r="B87" s="4" t="s">
        <v>105</v>
      </c>
      <c r="C87" s="4" t="s">
        <v>108</v>
      </c>
      <c r="D87" s="4" t="s">
        <v>92</v>
      </c>
      <c r="E87" s="4" t="s">
        <v>93</v>
      </c>
      <c r="F87" s="6">
        <v>47.52</v>
      </c>
      <c r="G87" s="6">
        <v>1.2</v>
      </c>
      <c r="H87" s="6">
        <f t="shared" si="2"/>
        <v>66.528000000000006</v>
      </c>
      <c r="I87" s="6">
        <f t="shared" si="3"/>
        <v>68.208000000000013</v>
      </c>
      <c r="J87" t="s">
        <v>1388</v>
      </c>
    </row>
    <row r="88" spans="1:10" x14ac:dyDescent="0.35">
      <c r="A88" t="s">
        <v>807</v>
      </c>
      <c r="B88" s="4" t="s">
        <v>107</v>
      </c>
      <c r="C88" s="4" t="s">
        <v>108</v>
      </c>
      <c r="D88" s="4" t="s">
        <v>92</v>
      </c>
      <c r="E88" s="4" t="s">
        <v>93</v>
      </c>
      <c r="F88" s="6">
        <v>19.309999999999999</v>
      </c>
      <c r="G88" s="6">
        <v>0.6</v>
      </c>
      <c r="H88" s="6">
        <f t="shared" si="2"/>
        <v>27.033999999999999</v>
      </c>
      <c r="I88" s="6">
        <f t="shared" si="3"/>
        <v>27.874000000000002</v>
      </c>
      <c r="J88" t="s">
        <v>1389</v>
      </c>
    </row>
    <row r="89" spans="1:10" x14ac:dyDescent="0.35">
      <c r="A89" t="s">
        <v>808</v>
      </c>
      <c r="B89" s="4" t="s">
        <v>104</v>
      </c>
      <c r="C89" s="4" t="s">
        <v>108</v>
      </c>
      <c r="D89" s="4" t="s">
        <v>92</v>
      </c>
      <c r="E89" s="4" t="s">
        <v>93</v>
      </c>
      <c r="F89" s="6">
        <v>23.56</v>
      </c>
      <c r="G89" s="6">
        <v>0.6</v>
      </c>
      <c r="H89" s="6">
        <f t="shared" si="2"/>
        <v>32.983999999999995</v>
      </c>
      <c r="I89" s="6">
        <f t="shared" si="3"/>
        <v>33.823999999999998</v>
      </c>
      <c r="J89" t="s">
        <v>1390</v>
      </c>
    </row>
    <row r="90" spans="1:10" x14ac:dyDescent="0.35">
      <c r="A90" t="s">
        <v>809</v>
      </c>
      <c r="B90" s="4" t="s">
        <v>109</v>
      </c>
      <c r="C90" s="4" t="s">
        <v>110</v>
      </c>
      <c r="D90" s="4" t="s">
        <v>92</v>
      </c>
      <c r="E90" s="4" t="s">
        <v>93</v>
      </c>
      <c r="F90" s="6">
        <v>32</v>
      </c>
      <c r="G90" s="6">
        <v>1.2</v>
      </c>
      <c r="H90" s="6">
        <f t="shared" si="2"/>
        <v>44.8</v>
      </c>
      <c r="I90" s="6">
        <f t="shared" si="3"/>
        <v>46.480000000000004</v>
      </c>
      <c r="J90" t="s">
        <v>1391</v>
      </c>
    </row>
    <row r="91" spans="1:10" x14ac:dyDescent="0.35">
      <c r="A91" t="s">
        <v>810</v>
      </c>
      <c r="B91" s="4" t="s">
        <v>111</v>
      </c>
      <c r="C91" s="4" t="s">
        <v>110</v>
      </c>
      <c r="D91" s="4" t="s">
        <v>92</v>
      </c>
      <c r="E91" s="4" t="s">
        <v>93</v>
      </c>
      <c r="F91" s="6">
        <v>36.96</v>
      </c>
      <c r="G91" s="6">
        <v>1.2</v>
      </c>
      <c r="H91" s="6">
        <f t="shared" si="2"/>
        <v>51.744</v>
      </c>
      <c r="I91" s="6">
        <f t="shared" si="3"/>
        <v>53.424000000000007</v>
      </c>
      <c r="J91" t="s">
        <v>1392</v>
      </c>
    </row>
    <row r="92" spans="1:10" x14ac:dyDescent="0.35">
      <c r="A92" t="s">
        <v>811</v>
      </c>
      <c r="B92" s="4" t="s">
        <v>112</v>
      </c>
      <c r="C92" s="4" t="s">
        <v>110</v>
      </c>
      <c r="D92" s="4" t="s">
        <v>92</v>
      </c>
      <c r="E92" s="4" t="s">
        <v>93</v>
      </c>
      <c r="F92" s="6">
        <v>23.38</v>
      </c>
      <c r="G92" s="6">
        <v>0.6</v>
      </c>
      <c r="H92" s="6">
        <f t="shared" si="2"/>
        <v>32.731999999999999</v>
      </c>
      <c r="I92" s="6">
        <f t="shared" si="3"/>
        <v>33.572000000000003</v>
      </c>
      <c r="J92" t="s">
        <v>1393</v>
      </c>
    </row>
    <row r="93" spans="1:10" x14ac:dyDescent="0.35">
      <c r="A93" t="s">
        <v>812</v>
      </c>
      <c r="B93" s="4" t="s">
        <v>101</v>
      </c>
      <c r="C93" s="4" t="s">
        <v>113</v>
      </c>
      <c r="D93" s="4" t="s">
        <v>92</v>
      </c>
      <c r="E93" s="4" t="s">
        <v>93</v>
      </c>
      <c r="F93" s="6">
        <v>23.43</v>
      </c>
      <c r="G93" s="6">
        <v>1.2</v>
      </c>
      <c r="H93" s="6">
        <f t="shared" si="2"/>
        <v>32.802</v>
      </c>
      <c r="I93" s="6">
        <f t="shared" si="3"/>
        <v>34.481999999999999</v>
      </c>
      <c r="J93" t="s">
        <v>1394</v>
      </c>
    </row>
    <row r="94" spans="1:10" x14ac:dyDescent="0.35">
      <c r="A94" t="s">
        <v>813</v>
      </c>
      <c r="B94" s="4" t="s">
        <v>105</v>
      </c>
      <c r="C94" s="4" t="s">
        <v>113</v>
      </c>
      <c r="D94" s="4" t="s">
        <v>92</v>
      </c>
      <c r="E94" s="4" t="s">
        <v>93</v>
      </c>
      <c r="F94" s="6">
        <v>33.549999999999997</v>
      </c>
      <c r="G94" s="6">
        <v>1.2</v>
      </c>
      <c r="H94" s="6">
        <f t="shared" si="2"/>
        <v>46.97</v>
      </c>
      <c r="I94" s="6">
        <f t="shared" si="3"/>
        <v>48.65</v>
      </c>
      <c r="J94" t="s">
        <v>1395</v>
      </c>
    </row>
    <row r="95" spans="1:10" x14ac:dyDescent="0.35">
      <c r="A95" t="s">
        <v>814</v>
      </c>
      <c r="B95" s="4" t="s">
        <v>114</v>
      </c>
      <c r="C95" s="4" t="s">
        <v>113</v>
      </c>
      <c r="D95" s="4" t="s">
        <v>92</v>
      </c>
      <c r="E95" s="4" t="s">
        <v>93</v>
      </c>
      <c r="F95" s="6">
        <v>38.5</v>
      </c>
      <c r="G95" s="6">
        <v>1.2</v>
      </c>
      <c r="H95" s="6">
        <f t="shared" si="2"/>
        <v>53.9</v>
      </c>
      <c r="I95" s="6">
        <f t="shared" si="3"/>
        <v>55.580000000000005</v>
      </c>
      <c r="J95" t="s">
        <v>1396</v>
      </c>
    </row>
    <row r="96" spans="1:10" x14ac:dyDescent="0.35">
      <c r="A96" t="s">
        <v>815</v>
      </c>
      <c r="B96" s="4" t="s">
        <v>115</v>
      </c>
      <c r="C96" s="4" t="s">
        <v>116</v>
      </c>
      <c r="D96" s="4" t="s">
        <v>92</v>
      </c>
      <c r="E96" s="4" t="s">
        <v>93</v>
      </c>
      <c r="F96" s="6">
        <v>30</v>
      </c>
      <c r="G96" s="6">
        <v>1.2</v>
      </c>
      <c r="H96" s="6">
        <f t="shared" si="2"/>
        <v>42</v>
      </c>
      <c r="I96" s="6">
        <f t="shared" si="3"/>
        <v>43.68</v>
      </c>
      <c r="J96" t="s">
        <v>1397</v>
      </c>
    </row>
    <row r="97" spans="1:10" x14ac:dyDescent="0.35">
      <c r="A97" t="s">
        <v>816</v>
      </c>
      <c r="B97" s="4" t="s">
        <v>1398</v>
      </c>
      <c r="C97" s="4" t="s">
        <v>117</v>
      </c>
      <c r="D97" s="4" t="s">
        <v>92</v>
      </c>
      <c r="E97" s="4" t="s">
        <v>93</v>
      </c>
      <c r="F97" s="6">
        <v>10.59</v>
      </c>
      <c r="G97" s="6">
        <v>1.2</v>
      </c>
      <c r="H97" s="6">
        <f t="shared" si="2"/>
        <v>14.826000000000001</v>
      </c>
      <c r="I97" s="6">
        <f t="shared" si="3"/>
        <v>16.506</v>
      </c>
      <c r="J97" t="s">
        <v>1399</v>
      </c>
    </row>
    <row r="98" spans="1:10" x14ac:dyDescent="0.35">
      <c r="A98" t="s">
        <v>817</v>
      </c>
      <c r="B98" s="4" t="s">
        <v>105</v>
      </c>
      <c r="C98" s="4" t="s">
        <v>117</v>
      </c>
      <c r="D98" s="4" t="s">
        <v>92</v>
      </c>
      <c r="E98" s="4" t="s">
        <v>93</v>
      </c>
      <c r="F98" s="6">
        <v>19.45</v>
      </c>
      <c r="G98" s="6">
        <v>1.2</v>
      </c>
      <c r="H98" s="6">
        <f t="shared" si="2"/>
        <v>27.23</v>
      </c>
      <c r="I98" s="6">
        <f t="shared" si="3"/>
        <v>28.909999999999997</v>
      </c>
      <c r="J98" t="s">
        <v>1400</v>
      </c>
    </row>
    <row r="99" spans="1:10" x14ac:dyDescent="0.35">
      <c r="A99" t="s">
        <v>818</v>
      </c>
      <c r="B99" s="4" t="s">
        <v>118</v>
      </c>
      <c r="C99" s="4" t="s">
        <v>117</v>
      </c>
      <c r="D99" s="4" t="s">
        <v>92</v>
      </c>
      <c r="E99" s="4" t="s">
        <v>93</v>
      </c>
      <c r="F99" s="6">
        <v>18.47</v>
      </c>
      <c r="G99" s="6">
        <v>1.2</v>
      </c>
      <c r="H99" s="6">
        <f t="shared" si="2"/>
        <v>25.857999999999997</v>
      </c>
      <c r="I99" s="6">
        <f t="shared" si="3"/>
        <v>27.537999999999997</v>
      </c>
      <c r="J99" t="s">
        <v>1401</v>
      </c>
    </row>
    <row r="100" spans="1:10" x14ac:dyDescent="0.35">
      <c r="A100" t="s">
        <v>819</v>
      </c>
      <c r="B100" s="4" t="s">
        <v>119</v>
      </c>
      <c r="C100" s="4" t="s">
        <v>117</v>
      </c>
      <c r="D100" s="4" t="s">
        <v>92</v>
      </c>
      <c r="E100" s="4" t="s">
        <v>93</v>
      </c>
      <c r="F100" s="6">
        <v>10.199999999999999</v>
      </c>
      <c r="G100" s="6">
        <v>1.2</v>
      </c>
      <c r="H100" s="6">
        <f t="shared" si="2"/>
        <v>14.28</v>
      </c>
      <c r="I100" s="6">
        <f t="shared" si="3"/>
        <v>15.959999999999997</v>
      </c>
      <c r="J100" t="s">
        <v>1402</v>
      </c>
    </row>
    <row r="101" spans="1:10" x14ac:dyDescent="0.35">
      <c r="A101" t="s">
        <v>820</v>
      </c>
      <c r="B101" s="4" t="s">
        <v>120</v>
      </c>
      <c r="C101" s="4" t="s">
        <v>121</v>
      </c>
      <c r="D101" s="4" t="s">
        <v>92</v>
      </c>
      <c r="E101" s="4" t="s">
        <v>93</v>
      </c>
      <c r="F101" s="6">
        <v>53.8</v>
      </c>
      <c r="G101" s="6">
        <v>1.2</v>
      </c>
      <c r="H101" s="6">
        <f t="shared" si="2"/>
        <v>75.319999999999993</v>
      </c>
      <c r="I101" s="6">
        <f t="shared" si="3"/>
        <v>77</v>
      </c>
      <c r="J101" t="s">
        <v>1403</v>
      </c>
    </row>
    <row r="102" spans="1:10" x14ac:dyDescent="0.35">
      <c r="A102" t="s">
        <v>821</v>
      </c>
      <c r="B102" s="4" t="s">
        <v>122</v>
      </c>
      <c r="C102" s="4" t="s">
        <v>121</v>
      </c>
      <c r="D102" s="4" t="s">
        <v>92</v>
      </c>
      <c r="E102" s="4" t="s">
        <v>93</v>
      </c>
      <c r="F102" s="6">
        <v>53.8</v>
      </c>
      <c r="G102" s="6">
        <v>1.2</v>
      </c>
      <c r="H102" s="6">
        <f t="shared" si="2"/>
        <v>75.319999999999993</v>
      </c>
      <c r="I102" s="6">
        <f t="shared" si="3"/>
        <v>77</v>
      </c>
      <c r="J102" t="s">
        <v>1404</v>
      </c>
    </row>
    <row r="103" spans="1:10" x14ac:dyDescent="0.35">
      <c r="A103" t="s">
        <v>822</v>
      </c>
      <c r="B103" s="4" t="s">
        <v>123</v>
      </c>
      <c r="C103" s="4" t="s">
        <v>121</v>
      </c>
      <c r="D103" s="4" t="s">
        <v>92</v>
      </c>
      <c r="E103" s="4" t="s">
        <v>93</v>
      </c>
      <c r="F103" s="6">
        <v>31.35</v>
      </c>
      <c r="G103" s="6">
        <v>1.2</v>
      </c>
      <c r="H103" s="6">
        <f t="shared" si="2"/>
        <v>43.89</v>
      </c>
      <c r="I103" s="6">
        <f t="shared" si="3"/>
        <v>45.570000000000007</v>
      </c>
      <c r="J103" t="s">
        <v>1406</v>
      </c>
    </row>
    <row r="104" spans="1:10" x14ac:dyDescent="0.35">
      <c r="A104" t="s">
        <v>823</v>
      </c>
      <c r="B104" s="4" t="s">
        <v>124</v>
      </c>
      <c r="C104" s="4" t="s">
        <v>121</v>
      </c>
      <c r="D104" s="4" t="s">
        <v>92</v>
      </c>
      <c r="E104" s="4" t="s">
        <v>93</v>
      </c>
      <c r="F104" s="6">
        <v>31.35</v>
      </c>
      <c r="G104" s="6">
        <v>1.2</v>
      </c>
      <c r="H104" s="6">
        <f t="shared" si="2"/>
        <v>43.89</v>
      </c>
      <c r="I104" s="6">
        <f t="shared" si="3"/>
        <v>45.570000000000007</v>
      </c>
      <c r="J104" t="s">
        <v>1405</v>
      </c>
    </row>
    <row r="105" spans="1:10" x14ac:dyDescent="0.35">
      <c r="A105" t="s">
        <v>824</v>
      </c>
      <c r="B105" s="4" t="s">
        <v>125</v>
      </c>
      <c r="C105" s="4" t="s">
        <v>126</v>
      </c>
      <c r="D105" s="4" t="s">
        <v>92</v>
      </c>
      <c r="E105" s="4" t="s">
        <v>93</v>
      </c>
      <c r="F105" s="6">
        <v>34.380000000000003</v>
      </c>
      <c r="G105" s="6">
        <v>1.2</v>
      </c>
      <c r="H105" s="6">
        <f t="shared" si="2"/>
        <v>48.132000000000005</v>
      </c>
      <c r="I105" s="6">
        <f t="shared" si="3"/>
        <v>49.812000000000012</v>
      </c>
      <c r="J105" t="s">
        <v>1407</v>
      </c>
    </row>
    <row r="106" spans="1:10" x14ac:dyDescent="0.35">
      <c r="A106" t="s">
        <v>825</v>
      </c>
      <c r="B106" s="4" t="s">
        <v>127</v>
      </c>
      <c r="C106" s="4" t="s">
        <v>126</v>
      </c>
      <c r="D106" s="4" t="s">
        <v>92</v>
      </c>
      <c r="E106" s="4" t="s">
        <v>93</v>
      </c>
      <c r="F106" s="6">
        <v>34.380000000000003</v>
      </c>
      <c r="G106" s="6">
        <v>1.2</v>
      </c>
      <c r="H106" s="6">
        <f t="shared" si="2"/>
        <v>48.132000000000005</v>
      </c>
      <c r="I106" s="6">
        <f t="shared" si="3"/>
        <v>49.812000000000012</v>
      </c>
      <c r="J106" t="s">
        <v>1408</v>
      </c>
    </row>
    <row r="107" spans="1:10" x14ac:dyDescent="0.35">
      <c r="A107" t="s">
        <v>826</v>
      </c>
      <c r="B107" s="4" t="s">
        <v>128</v>
      </c>
      <c r="C107" s="4" t="s">
        <v>129</v>
      </c>
      <c r="D107" s="4" t="s">
        <v>92</v>
      </c>
      <c r="E107" s="4" t="s">
        <v>93</v>
      </c>
      <c r="F107" s="6">
        <v>23.88</v>
      </c>
      <c r="G107" s="6">
        <v>1.2</v>
      </c>
      <c r="H107" s="6">
        <f t="shared" si="2"/>
        <v>33.432000000000002</v>
      </c>
      <c r="I107" s="6">
        <f t="shared" si="3"/>
        <v>35.111999999999995</v>
      </c>
      <c r="J107" t="s">
        <v>1409</v>
      </c>
    </row>
    <row r="108" spans="1:10" x14ac:dyDescent="0.35">
      <c r="A108" t="s">
        <v>827</v>
      </c>
      <c r="B108" s="4" t="s">
        <v>130</v>
      </c>
      <c r="C108" s="4" t="s">
        <v>129</v>
      </c>
      <c r="D108" s="4" t="s">
        <v>92</v>
      </c>
      <c r="E108" s="4" t="s">
        <v>93</v>
      </c>
      <c r="F108" s="6">
        <v>23.88</v>
      </c>
      <c r="G108" s="6">
        <v>1.2</v>
      </c>
      <c r="H108" s="6">
        <f t="shared" si="2"/>
        <v>33.432000000000002</v>
      </c>
      <c r="I108" s="6">
        <f t="shared" si="3"/>
        <v>35.111999999999995</v>
      </c>
      <c r="J108" t="s">
        <v>1410</v>
      </c>
    </row>
    <row r="109" spans="1:10" x14ac:dyDescent="0.35">
      <c r="A109" t="s">
        <v>828</v>
      </c>
      <c r="B109" s="4" t="s">
        <v>131</v>
      </c>
      <c r="C109" s="4" t="s">
        <v>129</v>
      </c>
      <c r="D109" s="4" t="s">
        <v>92</v>
      </c>
      <c r="E109" s="4" t="s">
        <v>93</v>
      </c>
      <c r="F109" s="6">
        <v>23.88</v>
      </c>
      <c r="G109" s="6">
        <v>1.2</v>
      </c>
      <c r="H109" s="6">
        <f t="shared" si="2"/>
        <v>33.432000000000002</v>
      </c>
      <c r="I109" s="6">
        <f t="shared" si="3"/>
        <v>35.111999999999995</v>
      </c>
      <c r="J109" t="s">
        <v>1411</v>
      </c>
    </row>
    <row r="110" spans="1:10" x14ac:dyDescent="0.35">
      <c r="A110" t="s">
        <v>829</v>
      </c>
      <c r="B110" s="4" t="s">
        <v>132</v>
      </c>
      <c r="C110" s="4" t="s">
        <v>129</v>
      </c>
      <c r="D110" s="4" t="s">
        <v>92</v>
      </c>
      <c r="E110" s="4" t="s">
        <v>93</v>
      </c>
      <c r="F110" s="6">
        <v>23.88</v>
      </c>
      <c r="G110" s="6">
        <v>1.2</v>
      </c>
      <c r="H110" s="6">
        <f t="shared" si="2"/>
        <v>33.432000000000002</v>
      </c>
      <c r="I110" s="6">
        <f t="shared" si="3"/>
        <v>35.111999999999995</v>
      </c>
      <c r="J110" t="s">
        <v>1412</v>
      </c>
    </row>
    <row r="111" spans="1:10" x14ac:dyDescent="0.35">
      <c r="A111" t="s">
        <v>830</v>
      </c>
      <c r="B111" s="4" t="s">
        <v>133</v>
      </c>
      <c r="C111" s="4" t="s">
        <v>129</v>
      </c>
      <c r="D111" s="4" t="s">
        <v>92</v>
      </c>
      <c r="E111" s="4" t="s">
        <v>93</v>
      </c>
      <c r="F111" s="6">
        <v>23.88</v>
      </c>
      <c r="G111" s="6">
        <v>1.2</v>
      </c>
      <c r="H111" s="6">
        <f t="shared" si="2"/>
        <v>33.432000000000002</v>
      </c>
      <c r="I111" s="6">
        <f t="shared" si="3"/>
        <v>35.111999999999995</v>
      </c>
      <c r="J111" t="s">
        <v>1413</v>
      </c>
    </row>
    <row r="112" spans="1:10" x14ac:dyDescent="0.35">
      <c r="A112" t="s">
        <v>831</v>
      </c>
      <c r="B112" s="4" t="s">
        <v>134</v>
      </c>
      <c r="C112" s="4" t="s">
        <v>129</v>
      </c>
      <c r="D112" s="4" t="s">
        <v>92</v>
      </c>
      <c r="E112" s="4" t="s">
        <v>93</v>
      </c>
      <c r="F112" s="6">
        <v>13.56</v>
      </c>
      <c r="G112" s="6">
        <v>1.2</v>
      </c>
      <c r="H112" s="6">
        <f t="shared" si="2"/>
        <v>18.984000000000002</v>
      </c>
      <c r="I112" s="6">
        <f t="shared" si="3"/>
        <v>20.664000000000001</v>
      </c>
      <c r="J112" t="s">
        <v>1414</v>
      </c>
    </row>
    <row r="113" spans="1:10" x14ac:dyDescent="0.35">
      <c r="A113" t="s">
        <v>832</v>
      </c>
      <c r="B113" s="4" t="s">
        <v>135</v>
      </c>
      <c r="C113" s="4" t="s">
        <v>129</v>
      </c>
      <c r="D113" s="4" t="s">
        <v>92</v>
      </c>
      <c r="E113" s="4" t="s">
        <v>93</v>
      </c>
      <c r="F113" s="6">
        <v>13.56</v>
      </c>
      <c r="G113" s="6">
        <v>1.2</v>
      </c>
      <c r="H113" s="6">
        <f t="shared" si="2"/>
        <v>18.984000000000002</v>
      </c>
      <c r="I113" s="6">
        <f t="shared" si="3"/>
        <v>20.664000000000001</v>
      </c>
      <c r="J113" t="s">
        <v>1415</v>
      </c>
    </row>
    <row r="114" spans="1:10" x14ac:dyDescent="0.35">
      <c r="A114" t="s">
        <v>833</v>
      </c>
      <c r="B114" s="4" t="s">
        <v>136</v>
      </c>
      <c r="C114" s="4" t="s">
        <v>129</v>
      </c>
      <c r="D114" s="4" t="s">
        <v>92</v>
      </c>
      <c r="E114" s="4" t="s">
        <v>93</v>
      </c>
      <c r="F114" s="6">
        <v>13.56</v>
      </c>
      <c r="G114" s="6">
        <v>1.2</v>
      </c>
      <c r="H114" s="6">
        <f t="shared" si="2"/>
        <v>18.984000000000002</v>
      </c>
      <c r="I114" s="6">
        <f t="shared" si="3"/>
        <v>20.664000000000001</v>
      </c>
      <c r="J114" t="s">
        <v>1416</v>
      </c>
    </row>
    <row r="115" spans="1:10" x14ac:dyDescent="0.35">
      <c r="A115" t="s">
        <v>834</v>
      </c>
      <c r="B115" s="4" t="s">
        <v>137</v>
      </c>
      <c r="C115" s="4" t="s">
        <v>138</v>
      </c>
      <c r="D115" s="4" t="s">
        <v>92</v>
      </c>
      <c r="E115" s="4" t="s">
        <v>93</v>
      </c>
      <c r="F115" s="6">
        <v>45.76</v>
      </c>
      <c r="G115" s="6">
        <v>1.2</v>
      </c>
      <c r="H115" s="6">
        <f t="shared" si="2"/>
        <v>64.063999999999993</v>
      </c>
      <c r="I115" s="6">
        <f t="shared" si="3"/>
        <v>65.744</v>
      </c>
      <c r="J115" t="s">
        <v>1417</v>
      </c>
    </row>
    <row r="116" spans="1:10" x14ac:dyDescent="0.35">
      <c r="A116" t="s">
        <v>835</v>
      </c>
      <c r="B116" s="4" t="s">
        <v>139</v>
      </c>
      <c r="C116" s="4" t="s">
        <v>138</v>
      </c>
      <c r="D116" s="4" t="s">
        <v>92</v>
      </c>
      <c r="E116" s="4" t="s">
        <v>93</v>
      </c>
      <c r="F116" s="6">
        <v>45.76</v>
      </c>
      <c r="G116" s="6">
        <v>1.2</v>
      </c>
      <c r="H116" s="6">
        <f t="shared" si="2"/>
        <v>64.063999999999993</v>
      </c>
      <c r="I116" s="6">
        <f t="shared" si="3"/>
        <v>65.744</v>
      </c>
      <c r="J116" t="s">
        <v>1418</v>
      </c>
    </row>
    <row r="117" spans="1:10" x14ac:dyDescent="0.35">
      <c r="A117" t="s">
        <v>836</v>
      </c>
      <c r="B117" s="4" t="s">
        <v>140</v>
      </c>
      <c r="C117" s="4" t="s">
        <v>138</v>
      </c>
      <c r="D117" s="4" t="s">
        <v>92</v>
      </c>
      <c r="E117" s="4" t="s">
        <v>93</v>
      </c>
      <c r="F117" s="6">
        <v>45.76</v>
      </c>
      <c r="G117" s="6">
        <v>1.2</v>
      </c>
      <c r="H117" s="6">
        <f t="shared" si="2"/>
        <v>64.063999999999993</v>
      </c>
      <c r="I117" s="6">
        <f t="shared" si="3"/>
        <v>65.744</v>
      </c>
      <c r="J117" t="s">
        <v>1419</v>
      </c>
    </row>
    <row r="118" spans="1:10" x14ac:dyDescent="0.35">
      <c r="A118" t="s">
        <v>837</v>
      </c>
      <c r="B118" s="4" t="s">
        <v>141</v>
      </c>
      <c r="C118" s="4" t="s">
        <v>138</v>
      </c>
      <c r="D118" s="4" t="s">
        <v>92</v>
      </c>
      <c r="E118" s="4" t="s">
        <v>93</v>
      </c>
      <c r="F118" s="6">
        <v>45.76</v>
      </c>
      <c r="G118" s="6">
        <v>1.2</v>
      </c>
      <c r="H118" s="6">
        <f t="shared" si="2"/>
        <v>64.063999999999993</v>
      </c>
      <c r="I118" s="6">
        <f t="shared" si="3"/>
        <v>65.744</v>
      </c>
      <c r="J118" t="s">
        <v>1420</v>
      </c>
    </row>
    <row r="119" spans="1:10" x14ac:dyDescent="0.35">
      <c r="A119" t="s">
        <v>838</v>
      </c>
      <c r="B119" s="4" t="s">
        <v>142</v>
      </c>
      <c r="C119" s="4" t="s">
        <v>143</v>
      </c>
      <c r="D119" s="4" t="s">
        <v>92</v>
      </c>
      <c r="E119" s="4" t="s">
        <v>93</v>
      </c>
      <c r="F119" s="6">
        <v>20</v>
      </c>
      <c r="G119" s="6">
        <v>1.2</v>
      </c>
      <c r="H119" s="6">
        <f t="shared" si="2"/>
        <v>28</v>
      </c>
      <c r="I119" s="6">
        <f t="shared" si="3"/>
        <v>29.68</v>
      </c>
      <c r="J119" t="s">
        <v>1421</v>
      </c>
    </row>
    <row r="120" spans="1:10" x14ac:dyDescent="0.35">
      <c r="A120" t="s">
        <v>839</v>
      </c>
      <c r="B120" s="4" t="s">
        <v>144</v>
      </c>
      <c r="C120" s="4" t="s">
        <v>145</v>
      </c>
      <c r="D120" s="4" t="s">
        <v>92</v>
      </c>
      <c r="E120" s="4" t="s">
        <v>93</v>
      </c>
      <c r="F120" s="6">
        <v>32</v>
      </c>
      <c r="G120" s="6">
        <v>1.2</v>
      </c>
      <c r="H120" s="6">
        <f t="shared" si="2"/>
        <v>44.8</v>
      </c>
      <c r="I120" s="6">
        <f t="shared" si="3"/>
        <v>46.480000000000004</v>
      </c>
      <c r="J120" t="s">
        <v>1422</v>
      </c>
    </row>
    <row r="121" spans="1:10" x14ac:dyDescent="0.35">
      <c r="A121" t="s">
        <v>840</v>
      </c>
      <c r="B121" s="4" t="s">
        <v>146</v>
      </c>
      <c r="C121" s="4" t="s">
        <v>147</v>
      </c>
      <c r="D121" s="4" t="s">
        <v>92</v>
      </c>
      <c r="E121" s="4" t="s">
        <v>148</v>
      </c>
      <c r="F121" s="6">
        <v>44.96</v>
      </c>
      <c r="G121" s="6">
        <v>1.2</v>
      </c>
      <c r="H121" s="6">
        <f t="shared" si="2"/>
        <v>62.944000000000003</v>
      </c>
      <c r="I121" s="6">
        <f t="shared" si="3"/>
        <v>64.624000000000009</v>
      </c>
      <c r="J121" t="s">
        <v>1423</v>
      </c>
    </row>
    <row r="122" spans="1:10" x14ac:dyDescent="0.35">
      <c r="A122" t="s">
        <v>841</v>
      </c>
      <c r="B122" s="4" t="s">
        <v>149</v>
      </c>
      <c r="C122" s="4" t="s">
        <v>147</v>
      </c>
      <c r="D122" s="4" t="s">
        <v>92</v>
      </c>
      <c r="E122" s="4" t="s">
        <v>148</v>
      </c>
      <c r="F122" s="6">
        <v>54.56</v>
      </c>
      <c r="G122" s="6">
        <v>1.2</v>
      </c>
      <c r="H122" s="6">
        <f t="shared" si="2"/>
        <v>76.384</v>
      </c>
      <c r="I122" s="6">
        <f t="shared" si="3"/>
        <v>78.064000000000007</v>
      </c>
      <c r="J122" t="s">
        <v>1424</v>
      </c>
    </row>
    <row r="123" spans="1:10" x14ac:dyDescent="0.35">
      <c r="A123" t="s">
        <v>842</v>
      </c>
      <c r="B123" s="4" t="s">
        <v>150</v>
      </c>
      <c r="C123" s="4" t="s">
        <v>151</v>
      </c>
      <c r="D123" s="4" t="s">
        <v>92</v>
      </c>
      <c r="E123" s="4" t="s">
        <v>148</v>
      </c>
      <c r="F123" s="6">
        <v>20</v>
      </c>
      <c r="G123" s="6">
        <v>1.2</v>
      </c>
      <c r="H123" s="6">
        <f t="shared" si="2"/>
        <v>28</v>
      </c>
      <c r="I123" s="6">
        <f t="shared" si="3"/>
        <v>29.68</v>
      </c>
      <c r="J123" t="s">
        <v>1425</v>
      </c>
    </row>
    <row r="124" spans="1:10" x14ac:dyDescent="0.35">
      <c r="A124" t="s">
        <v>843</v>
      </c>
      <c r="B124" s="4" t="s">
        <v>152</v>
      </c>
      <c r="C124" s="4" t="s">
        <v>153</v>
      </c>
      <c r="D124" s="4" t="s">
        <v>92</v>
      </c>
      <c r="E124" s="4" t="s">
        <v>148</v>
      </c>
      <c r="F124" s="6">
        <v>15.6</v>
      </c>
      <c r="G124" s="6">
        <v>0</v>
      </c>
      <c r="H124" s="6">
        <f t="shared" si="2"/>
        <v>21.84</v>
      </c>
      <c r="I124" s="6">
        <f t="shared" si="3"/>
        <v>21.84</v>
      </c>
      <c r="J124" t="s">
        <v>1426</v>
      </c>
    </row>
    <row r="125" spans="1:10" x14ac:dyDescent="0.35">
      <c r="A125" t="s">
        <v>844</v>
      </c>
      <c r="B125" s="4" t="s">
        <v>154</v>
      </c>
      <c r="C125" s="4" t="s">
        <v>153</v>
      </c>
      <c r="D125" s="4" t="s">
        <v>92</v>
      </c>
      <c r="E125" s="4" t="s">
        <v>148</v>
      </c>
      <c r="F125" s="6">
        <v>28.8</v>
      </c>
      <c r="G125" s="6">
        <v>1.2</v>
      </c>
      <c r="H125" s="6">
        <f t="shared" si="2"/>
        <v>40.32</v>
      </c>
      <c r="I125" s="6">
        <f t="shared" si="3"/>
        <v>42</v>
      </c>
      <c r="J125" t="s">
        <v>1427</v>
      </c>
    </row>
    <row r="126" spans="1:10" x14ac:dyDescent="0.35">
      <c r="A126" t="s">
        <v>845</v>
      </c>
      <c r="B126" s="4" t="s">
        <v>155</v>
      </c>
      <c r="C126" s="4" t="s">
        <v>153</v>
      </c>
      <c r="D126" s="4" t="s">
        <v>92</v>
      </c>
      <c r="E126" s="4" t="s">
        <v>148</v>
      </c>
      <c r="F126" s="6">
        <v>28.8</v>
      </c>
      <c r="G126" s="6">
        <v>1.2</v>
      </c>
      <c r="H126" s="6">
        <f t="shared" si="2"/>
        <v>40.32</v>
      </c>
      <c r="I126" s="6">
        <f t="shared" si="3"/>
        <v>42</v>
      </c>
      <c r="J126" t="s">
        <v>1428</v>
      </c>
    </row>
    <row r="127" spans="1:10" x14ac:dyDescent="0.35">
      <c r="A127" t="s">
        <v>846</v>
      </c>
      <c r="B127" s="4" t="s">
        <v>156</v>
      </c>
      <c r="C127" s="4" t="s">
        <v>153</v>
      </c>
      <c r="D127" s="4" t="s">
        <v>92</v>
      </c>
      <c r="E127" s="4" t="s">
        <v>148</v>
      </c>
      <c r="F127" s="6">
        <v>28.8</v>
      </c>
      <c r="G127" s="6">
        <v>1.2</v>
      </c>
      <c r="H127" s="6">
        <f t="shared" si="2"/>
        <v>40.32</v>
      </c>
      <c r="I127" s="6">
        <f t="shared" si="3"/>
        <v>42</v>
      </c>
      <c r="J127" t="s">
        <v>1429</v>
      </c>
    </row>
    <row r="128" spans="1:10" x14ac:dyDescent="0.35">
      <c r="A128" t="s">
        <v>847</v>
      </c>
      <c r="B128" s="4" t="s">
        <v>157</v>
      </c>
      <c r="C128" s="4" t="s">
        <v>153</v>
      </c>
      <c r="D128" s="4" t="s">
        <v>92</v>
      </c>
      <c r="E128" s="4" t="s">
        <v>148</v>
      </c>
      <c r="F128" s="6">
        <v>28.8</v>
      </c>
      <c r="G128" s="6">
        <v>1.2</v>
      </c>
      <c r="H128" s="6">
        <f t="shared" si="2"/>
        <v>40.32</v>
      </c>
      <c r="I128" s="6">
        <f t="shared" si="3"/>
        <v>42</v>
      </c>
      <c r="J128" t="s">
        <v>1430</v>
      </c>
    </row>
    <row r="129" spans="1:10" x14ac:dyDescent="0.35">
      <c r="A129" t="s">
        <v>848</v>
      </c>
      <c r="B129" s="4" t="s">
        <v>158</v>
      </c>
      <c r="C129" s="4" t="s">
        <v>153</v>
      </c>
      <c r="D129" s="4" t="s">
        <v>92</v>
      </c>
      <c r="E129" s="4" t="s">
        <v>148</v>
      </c>
      <c r="F129" s="6">
        <v>28.8</v>
      </c>
      <c r="G129" s="6">
        <v>1.2</v>
      </c>
      <c r="H129" s="6">
        <f t="shared" si="2"/>
        <v>40.32</v>
      </c>
      <c r="I129" s="6">
        <f t="shared" si="3"/>
        <v>42</v>
      </c>
      <c r="J129" t="s">
        <v>1431</v>
      </c>
    </row>
    <row r="130" spans="1:10" x14ac:dyDescent="0.35">
      <c r="A130" t="s">
        <v>849</v>
      </c>
      <c r="B130" s="4" t="s">
        <v>159</v>
      </c>
      <c r="C130" s="4" t="s">
        <v>151</v>
      </c>
      <c r="D130" s="4" t="s">
        <v>92</v>
      </c>
      <c r="E130" s="4" t="s">
        <v>148</v>
      </c>
      <c r="F130" s="6">
        <v>45.87</v>
      </c>
      <c r="G130" s="6">
        <v>1.2</v>
      </c>
      <c r="H130" s="6">
        <f t="shared" si="2"/>
        <v>64.217999999999989</v>
      </c>
      <c r="I130" s="6">
        <f t="shared" si="3"/>
        <v>65.897999999999996</v>
      </c>
      <c r="J130" t="s">
        <v>1432</v>
      </c>
    </row>
    <row r="131" spans="1:10" x14ac:dyDescent="0.35">
      <c r="A131" t="s">
        <v>850</v>
      </c>
      <c r="B131" s="4" t="s">
        <v>160</v>
      </c>
      <c r="C131" s="4" t="s">
        <v>151</v>
      </c>
      <c r="D131" s="4" t="s">
        <v>92</v>
      </c>
      <c r="E131" s="4" t="s">
        <v>148</v>
      </c>
      <c r="F131" s="6">
        <v>45.87</v>
      </c>
      <c r="G131" s="6">
        <v>1.2</v>
      </c>
      <c r="H131" s="6">
        <f t="shared" ref="H131:H196" si="4">(F131*0.4)+F131</f>
        <v>64.217999999999989</v>
      </c>
      <c r="I131" s="6">
        <f t="shared" ref="I131:I196" si="5">((F131+G131)*0.4)+(F131+G131)</f>
        <v>65.897999999999996</v>
      </c>
      <c r="J131" t="s">
        <v>1433</v>
      </c>
    </row>
    <row r="132" spans="1:10" x14ac:dyDescent="0.35">
      <c r="A132" t="s">
        <v>851</v>
      </c>
      <c r="B132" s="4" t="s">
        <v>161</v>
      </c>
      <c r="C132" s="4" t="s">
        <v>151</v>
      </c>
      <c r="D132" s="4" t="s">
        <v>92</v>
      </c>
      <c r="E132" s="4" t="s">
        <v>148</v>
      </c>
      <c r="F132" s="6">
        <v>20</v>
      </c>
      <c r="G132" s="6">
        <v>0</v>
      </c>
      <c r="H132" s="6">
        <f t="shared" si="4"/>
        <v>28</v>
      </c>
      <c r="I132" s="6">
        <f t="shared" si="5"/>
        <v>28</v>
      </c>
      <c r="J132" t="s">
        <v>1434</v>
      </c>
    </row>
    <row r="133" spans="1:10" x14ac:dyDescent="0.35">
      <c r="A133" t="s">
        <v>852</v>
      </c>
      <c r="B133" s="4" t="s">
        <v>162</v>
      </c>
      <c r="C133" s="4" t="s">
        <v>151</v>
      </c>
      <c r="D133" s="4" t="s">
        <v>92</v>
      </c>
      <c r="E133" s="4" t="s">
        <v>148</v>
      </c>
      <c r="F133" s="6">
        <v>20</v>
      </c>
      <c r="G133" s="6">
        <v>0</v>
      </c>
      <c r="H133" s="6">
        <f t="shared" si="4"/>
        <v>28</v>
      </c>
      <c r="I133" s="6">
        <f t="shared" si="5"/>
        <v>28</v>
      </c>
      <c r="J133" t="s">
        <v>1435</v>
      </c>
    </row>
    <row r="134" spans="1:10" x14ac:dyDescent="0.35">
      <c r="A134" t="s">
        <v>853</v>
      </c>
      <c r="B134" s="4" t="s">
        <v>163</v>
      </c>
      <c r="C134" s="4" t="s">
        <v>164</v>
      </c>
      <c r="D134" s="4" t="s">
        <v>92</v>
      </c>
      <c r="E134" s="4" t="s">
        <v>148</v>
      </c>
      <c r="F134" s="6">
        <v>14.67</v>
      </c>
      <c r="G134" s="6">
        <v>0</v>
      </c>
      <c r="H134" s="6">
        <f t="shared" si="4"/>
        <v>20.538</v>
      </c>
      <c r="I134" s="6">
        <f t="shared" si="5"/>
        <v>20.538</v>
      </c>
      <c r="J134" t="s">
        <v>1436</v>
      </c>
    </row>
    <row r="135" spans="1:10" x14ac:dyDescent="0.35">
      <c r="A135" t="s">
        <v>854</v>
      </c>
      <c r="B135" s="4" t="s">
        <v>165</v>
      </c>
      <c r="C135" s="4" t="s">
        <v>164</v>
      </c>
      <c r="D135" s="4" t="s">
        <v>92</v>
      </c>
      <c r="E135" s="4" t="s">
        <v>148</v>
      </c>
      <c r="F135" s="6">
        <v>14.67</v>
      </c>
      <c r="G135" s="6">
        <v>0</v>
      </c>
      <c r="H135" s="6">
        <f t="shared" si="4"/>
        <v>20.538</v>
      </c>
      <c r="I135" s="6">
        <f t="shared" si="5"/>
        <v>20.538</v>
      </c>
      <c r="J135" t="s">
        <v>1437</v>
      </c>
    </row>
    <row r="136" spans="1:10" x14ac:dyDescent="0.35">
      <c r="A136" t="s">
        <v>855</v>
      </c>
      <c r="B136" s="4" t="s">
        <v>166</v>
      </c>
      <c r="C136" s="4" t="s">
        <v>164</v>
      </c>
      <c r="D136" s="4" t="s">
        <v>92</v>
      </c>
      <c r="E136" s="4" t="s">
        <v>148</v>
      </c>
      <c r="F136" s="6">
        <v>14.67</v>
      </c>
      <c r="G136" s="6">
        <v>0</v>
      </c>
      <c r="H136" s="6">
        <f t="shared" si="4"/>
        <v>20.538</v>
      </c>
      <c r="I136" s="6">
        <f t="shared" si="5"/>
        <v>20.538</v>
      </c>
      <c r="J136" t="s">
        <v>1438</v>
      </c>
    </row>
    <row r="137" spans="1:10" x14ac:dyDescent="0.35">
      <c r="A137" t="s">
        <v>856</v>
      </c>
      <c r="B137" s="4" t="s">
        <v>167</v>
      </c>
      <c r="C137" s="4" t="s">
        <v>168</v>
      </c>
      <c r="D137" s="4" t="s">
        <v>92</v>
      </c>
      <c r="E137" s="4" t="s">
        <v>169</v>
      </c>
      <c r="F137" s="6">
        <v>56.4</v>
      </c>
      <c r="G137" s="6">
        <v>1.2</v>
      </c>
      <c r="H137" s="6">
        <f t="shared" si="4"/>
        <v>78.960000000000008</v>
      </c>
      <c r="I137" s="6">
        <f t="shared" si="5"/>
        <v>80.64</v>
      </c>
      <c r="J137" t="s">
        <v>1439</v>
      </c>
    </row>
    <row r="138" spans="1:10" x14ac:dyDescent="0.35">
      <c r="A138" t="s">
        <v>857</v>
      </c>
      <c r="B138" s="4" t="s">
        <v>170</v>
      </c>
      <c r="C138" s="4" t="s">
        <v>168</v>
      </c>
      <c r="D138" s="4" t="s">
        <v>92</v>
      </c>
      <c r="E138" s="4" t="s">
        <v>169</v>
      </c>
      <c r="F138" s="6">
        <v>56.4</v>
      </c>
      <c r="G138" s="6">
        <v>1.2</v>
      </c>
      <c r="H138" s="6">
        <f t="shared" si="4"/>
        <v>78.960000000000008</v>
      </c>
      <c r="I138" s="6">
        <f t="shared" si="5"/>
        <v>80.64</v>
      </c>
      <c r="J138" t="s">
        <v>1440</v>
      </c>
    </row>
    <row r="139" spans="1:10" x14ac:dyDescent="0.35">
      <c r="A139" t="s">
        <v>858</v>
      </c>
      <c r="B139" s="4" t="s">
        <v>171</v>
      </c>
      <c r="C139" s="4" t="s">
        <v>168</v>
      </c>
      <c r="D139" s="4" t="s">
        <v>92</v>
      </c>
      <c r="E139" s="4" t="s">
        <v>169</v>
      </c>
      <c r="F139" s="6">
        <v>56.4</v>
      </c>
      <c r="G139" s="6">
        <v>1.2</v>
      </c>
      <c r="H139" s="6">
        <f t="shared" si="4"/>
        <v>78.960000000000008</v>
      </c>
      <c r="I139" s="6">
        <f t="shared" si="5"/>
        <v>80.64</v>
      </c>
      <c r="J139" t="s">
        <v>1441</v>
      </c>
    </row>
    <row r="140" spans="1:10" x14ac:dyDescent="0.35">
      <c r="A140" t="s">
        <v>859</v>
      </c>
      <c r="B140" s="4" t="s">
        <v>172</v>
      </c>
      <c r="C140" s="4" t="s">
        <v>168</v>
      </c>
      <c r="D140" s="4" t="s">
        <v>92</v>
      </c>
      <c r="E140" s="4" t="s">
        <v>169</v>
      </c>
      <c r="F140" s="6">
        <v>56.4</v>
      </c>
      <c r="G140" s="6">
        <v>1.2</v>
      </c>
      <c r="H140" s="6">
        <f t="shared" si="4"/>
        <v>78.960000000000008</v>
      </c>
      <c r="I140" s="6">
        <f t="shared" si="5"/>
        <v>80.64</v>
      </c>
      <c r="J140" t="s">
        <v>1442</v>
      </c>
    </row>
    <row r="141" spans="1:10" x14ac:dyDescent="0.35">
      <c r="A141" t="s">
        <v>860</v>
      </c>
      <c r="B141" s="4" t="s">
        <v>173</v>
      </c>
      <c r="C141" s="4" t="s">
        <v>168</v>
      </c>
      <c r="D141" s="4" t="s">
        <v>92</v>
      </c>
      <c r="E141" s="4" t="s">
        <v>169</v>
      </c>
      <c r="F141" s="6">
        <v>56.4</v>
      </c>
      <c r="G141" s="6">
        <v>1.2</v>
      </c>
      <c r="H141" s="6">
        <f t="shared" si="4"/>
        <v>78.960000000000008</v>
      </c>
      <c r="I141" s="6">
        <f t="shared" si="5"/>
        <v>80.64</v>
      </c>
      <c r="J141" t="s">
        <v>1443</v>
      </c>
    </row>
    <row r="142" spans="1:10" x14ac:dyDescent="0.35">
      <c r="A142" t="s">
        <v>861</v>
      </c>
      <c r="B142" s="4" t="s">
        <v>174</v>
      </c>
      <c r="C142" s="4" t="s">
        <v>168</v>
      </c>
      <c r="D142" s="4" t="s">
        <v>92</v>
      </c>
      <c r="E142" s="4" t="s">
        <v>169</v>
      </c>
      <c r="F142" s="6">
        <v>56.4</v>
      </c>
      <c r="G142" s="6">
        <v>1.2</v>
      </c>
      <c r="H142" s="6">
        <f t="shared" si="4"/>
        <v>78.960000000000008</v>
      </c>
      <c r="I142" s="6">
        <f t="shared" si="5"/>
        <v>80.64</v>
      </c>
      <c r="J142" t="s">
        <v>1444</v>
      </c>
    </row>
    <row r="143" spans="1:10" x14ac:dyDescent="0.35">
      <c r="A143" t="s">
        <v>862</v>
      </c>
      <c r="B143" s="4" t="s">
        <v>175</v>
      </c>
      <c r="C143" s="4" t="s">
        <v>176</v>
      </c>
      <c r="D143" s="4" t="s">
        <v>177</v>
      </c>
      <c r="E143" s="4" t="s">
        <v>178</v>
      </c>
      <c r="F143" s="6">
        <v>37.92</v>
      </c>
      <c r="G143" s="6">
        <v>0</v>
      </c>
      <c r="H143" s="6">
        <f t="shared" si="4"/>
        <v>53.088000000000001</v>
      </c>
      <c r="I143" s="6">
        <f t="shared" si="5"/>
        <v>53.088000000000001</v>
      </c>
      <c r="J143" t="s">
        <v>1445</v>
      </c>
    </row>
    <row r="144" spans="1:10" x14ac:dyDescent="0.35">
      <c r="A144" t="s">
        <v>863</v>
      </c>
      <c r="B144" s="4" t="s">
        <v>179</v>
      </c>
      <c r="C144" s="4" t="s">
        <v>176</v>
      </c>
      <c r="D144" s="4" t="s">
        <v>177</v>
      </c>
      <c r="E144" s="4" t="s">
        <v>178</v>
      </c>
      <c r="F144" s="6">
        <v>37.92</v>
      </c>
      <c r="G144" s="6">
        <v>0</v>
      </c>
      <c r="H144" s="6">
        <f t="shared" si="4"/>
        <v>53.088000000000001</v>
      </c>
      <c r="I144" s="6">
        <f t="shared" si="5"/>
        <v>53.088000000000001</v>
      </c>
      <c r="J144" t="s">
        <v>1446</v>
      </c>
    </row>
    <row r="145" spans="1:10" x14ac:dyDescent="0.35">
      <c r="A145" t="s">
        <v>864</v>
      </c>
      <c r="B145" s="4" t="s">
        <v>180</v>
      </c>
      <c r="C145" s="4" t="s">
        <v>176</v>
      </c>
      <c r="D145" s="4" t="s">
        <v>177</v>
      </c>
      <c r="E145" s="4" t="s">
        <v>178</v>
      </c>
      <c r="F145" s="6">
        <v>37.92</v>
      </c>
      <c r="G145" s="6">
        <v>0</v>
      </c>
      <c r="H145" s="6">
        <f t="shared" si="4"/>
        <v>53.088000000000001</v>
      </c>
      <c r="I145" s="6">
        <f t="shared" si="5"/>
        <v>53.088000000000001</v>
      </c>
      <c r="J145" t="s">
        <v>1447</v>
      </c>
    </row>
    <row r="146" spans="1:10" x14ac:dyDescent="0.35">
      <c r="A146" t="s">
        <v>865</v>
      </c>
      <c r="B146" s="4" t="s">
        <v>181</v>
      </c>
      <c r="C146" s="4" t="s">
        <v>176</v>
      </c>
      <c r="D146" s="4" t="s">
        <v>177</v>
      </c>
      <c r="E146" s="4" t="s">
        <v>178</v>
      </c>
      <c r="F146" s="6">
        <v>37.92</v>
      </c>
      <c r="G146" s="6">
        <v>0</v>
      </c>
      <c r="H146" s="6">
        <f t="shared" si="4"/>
        <v>53.088000000000001</v>
      </c>
      <c r="I146" s="6">
        <f t="shared" si="5"/>
        <v>53.088000000000001</v>
      </c>
      <c r="J146" t="s">
        <v>1448</v>
      </c>
    </row>
    <row r="147" spans="1:10" x14ac:dyDescent="0.35">
      <c r="A147" t="s">
        <v>866</v>
      </c>
      <c r="B147" s="4" t="s">
        <v>182</v>
      </c>
      <c r="C147" s="4" t="s">
        <v>176</v>
      </c>
      <c r="D147" s="4" t="s">
        <v>177</v>
      </c>
      <c r="E147" s="4" t="s">
        <v>178</v>
      </c>
      <c r="F147" s="6">
        <v>37.92</v>
      </c>
      <c r="G147" s="6">
        <v>0</v>
      </c>
      <c r="H147" s="6">
        <f t="shared" si="4"/>
        <v>53.088000000000001</v>
      </c>
      <c r="I147" s="6">
        <f t="shared" si="5"/>
        <v>53.088000000000001</v>
      </c>
      <c r="J147" t="s">
        <v>1449</v>
      </c>
    </row>
    <row r="148" spans="1:10" x14ac:dyDescent="0.35">
      <c r="A148" t="s">
        <v>867</v>
      </c>
      <c r="B148" s="4" t="s">
        <v>183</v>
      </c>
      <c r="C148" s="4" t="s">
        <v>176</v>
      </c>
      <c r="D148" s="4" t="s">
        <v>177</v>
      </c>
      <c r="E148" s="4" t="s">
        <v>178</v>
      </c>
      <c r="F148" s="6">
        <v>37.92</v>
      </c>
      <c r="G148" s="6">
        <v>0</v>
      </c>
      <c r="H148" s="6">
        <f t="shared" si="4"/>
        <v>53.088000000000001</v>
      </c>
      <c r="I148" s="6">
        <f t="shared" si="5"/>
        <v>53.088000000000001</v>
      </c>
      <c r="J148" t="s">
        <v>1450</v>
      </c>
    </row>
    <row r="149" spans="1:10" x14ac:dyDescent="0.35">
      <c r="A149" t="s">
        <v>868</v>
      </c>
      <c r="B149" s="4" t="s">
        <v>184</v>
      </c>
      <c r="C149" s="4" t="s">
        <v>176</v>
      </c>
      <c r="D149" s="4" t="s">
        <v>177</v>
      </c>
      <c r="E149" s="4" t="s">
        <v>178</v>
      </c>
      <c r="F149" s="6">
        <v>37.92</v>
      </c>
      <c r="G149" s="6">
        <v>0</v>
      </c>
      <c r="H149" s="6">
        <f t="shared" si="4"/>
        <v>53.088000000000001</v>
      </c>
      <c r="I149" s="6">
        <f t="shared" si="5"/>
        <v>53.088000000000001</v>
      </c>
      <c r="J149" t="s">
        <v>1451</v>
      </c>
    </row>
    <row r="150" spans="1:10" x14ac:dyDescent="0.35">
      <c r="A150" t="s">
        <v>869</v>
      </c>
      <c r="B150" s="4" t="s">
        <v>185</v>
      </c>
      <c r="C150" s="4" t="s">
        <v>176</v>
      </c>
      <c r="D150" s="4" t="s">
        <v>177</v>
      </c>
      <c r="E150" s="4" t="s">
        <v>178</v>
      </c>
      <c r="F150" s="6">
        <v>37.92</v>
      </c>
      <c r="G150" s="6">
        <v>0</v>
      </c>
      <c r="H150" s="6">
        <f t="shared" si="4"/>
        <v>53.088000000000001</v>
      </c>
      <c r="I150" s="6">
        <f t="shared" si="5"/>
        <v>53.088000000000001</v>
      </c>
      <c r="J150" t="s">
        <v>1452</v>
      </c>
    </row>
    <row r="151" spans="1:10" x14ac:dyDescent="0.35">
      <c r="A151" t="s">
        <v>870</v>
      </c>
      <c r="B151" s="4" t="s">
        <v>186</v>
      </c>
      <c r="C151" s="4" t="s">
        <v>176</v>
      </c>
      <c r="D151" s="4" t="s">
        <v>177</v>
      </c>
      <c r="E151" s="4" t="s">
        <v>178</v>
      </c>
      <c r="F151" s="6">
        <v>37.92</v>
      </c>
      <c r="G151" s="6">
        <v>0</v>
      </c>
      <c r="H151" s="6">
        <f t="shared" si="4"/>
        <v>53.088000000000001</v>
      </c>
      <c r="I151" s="6">
        <f t="shared" si="5"/>
        <v>53.088000000000001</v>
      </c>
      <c r="J151" t="s">
        <v>1453</v>
      </c>
    </row>
    <row r="152" spans="1:10" x14ac:dyDescent="0.35">
      <c r="A152" t="s">
        <v>871</v>
      </c>
      <c r="B152" s="4" t="s">
        <v>187</v>
      </c>
      <c r="C152" s="4" t="s">
        <v>176</v>
      </c>
      <c r="D152" s="4" t="s">
        <v>177</v>
      </c>
      <c r="E152" s="4" t="s">
        <v>178</v>
      </c>
      <c r="F152" s="6">
        <v>37.92</v>
      </c>
      <c r="G152" s="6">
        <v>0</v>
      </c>
      <c r="H152" s="6">
        <f t="shared" si="4"/>
        <v>53.088000000000001</v>
      </c>
      <c r="I152" s="6">
        <f t="shared" si="5"/>
        <v>53.088000000000001</v>
      </c>
      <c r="J152" t="s">
        <v>1454</v>
      </c>
    </row>
    <row r="153" spans="1:10" x14ac:dyDescent="0.35">
      <c r="A153" t="s">
        <v>872</v>
      </c>
      <c r="B153" s="4" t="s">
        <v>188</v>
      </c>
      <c r="C153" s="4" t="s">
        <v>176</v>
      </c>
      <c r="D153" s="4" t="s">
        <v>177</v>
      </c>
      <c r="E153" s="4" t="s">
        <v>178</v>
      </c>
      <c r="F153" s="6">
        <v>37.92</v>
      </c>
      <c r="G153" s="6">
        <v>0</v>
      </c>
      <c r="H153" s="6">
        <f t="shared" si="4"/>
        <v>53.088000000000001</v>
      </c>
      <c r="I153" s="6">
        <f t="shared" si="5"/>
        <v>53.088000000000001</v>
      </c>
      <c r="J153" t="s">
        <v>1455</v>
      </c>
    </row>
    <row r="154" spans="1:10" x14ac:dyDescent="0.35">
      <c r="A154" t="s">
        <v>873</v>
      </c>
      <c r="B154" s="4" t="s">
        <v>1464</v>
      </c>
      <c r="C154" s="4" t="s">
        <v>176</v>
      </c>
      <c r="D154" s="4" t="s">
        <v>177</v>
      </c>
      <c r="E154" s="4" t="s">
        <v>178</v>
      </c>
      <c r="F154" s="6">
        <v>37.92</v>
      </c>
      <c r="G154" s="6">
        <v>0</v>
      </c>
      <c r="H154" s="6">
        <f t="shared" si="4"/>
        <v>53.088000000000001</v>
      </c>
      <c r="I154" s="6">
        <f t="shared" si="5"/>
        <v>53.088000000000001</v>
      </c>
      <c r="J154" t="s">
        <v>1456</v>
      </c>
    </row>
    <row r="155" spans="1:10" x14ac:dyDescent="0.35">
      <c r="A155" t="s">
        <v>874</v>
      </c>
      <c r="B155" s="4" t="s">
        <v>1465</v>
      </c>
      <c r="C155" s="4" t="s">
        <v>176</v>
      </c>
      <c r="D155" s="4" t="s">
        <v>177</v>
      </c>
      <c r="E155" s="4" t="s">
        <v>178</v>
      </c>
      <c r="F155" s="6">
        <v>37.92</v>
      </c>
      <c r="G155" s="6">
        <v>0</v>
      </c>
      <c r="H155" s="6">
        <f t="shared" si="4"/>
        <v>53.088000000000001</v>
      </c>
      <c r="I155" s="6">
        <f t="shared" si="5"/>
        <v>53.088000000000001</v>
      </c>
      <c r="J155" t="s">
        <v>1457</v>
      </c>
    </row>
    <row r="156" spans="1:10" x14ac:dyDescent="0.35">
      <c r="A156" t="s">
        <v>875</v>
      </c>
      <c r="B156" s="4" t="s">
        <v>1466</v>
      </c>
      <c r="C156" s="4" t="s">
        <v>176</v>
      </c>
      <c r="D156" s="4" t="s">
        <v>177</v>
      </c>
      <c r="E156" s="4" t="s">
        <v>178</v>
      </c>
      <c r="F156" s="6">
        <v>37.92</v>
      </c>
      <c r="G156" s="6">
        <v>0</v>
      </c>
      <c r="H156" s="6">
        <f t="shared" si="4"/>
        <v>53.088000000000001</v>
      </c>
      <c r="I156" s="6">
        <f t="shared" si="5"/>
        <v>53.088000000000001</v>
      </c>
      <c r="J156" t="s">
        <v>1458</v>
      </c>
    </row>
    <row r="157" spans="1:10" x14ac:dyDescent="0.35">
      <c r="A157" t="s">
        <v>876</v>
      </c>
      <c r="B157" s="4" t="s">
        <v>1467</v>
      </c>
      <c r="C157" s="4" t="s">
        <v>176</v>
      </c>
      <c r="D157" s="4" t="s">
        <v>177</v>
      </c>
      <c r="E157" s="4" t="s">
        <v>178</v>
      </c>
      <c r="F157" s="6">
        <v>37.92</v>
      </c>
      <c r="G157" s="6">
        <v>0</v>
      </c>
      <c r="H157" s="6">
        <f t="shared" si="4"/>
        <v>53.088000000000001</v>
      </c>
      <c r="I157" s="6">
        <f t="shared" si="5"/>
        <v>53.088000000000001</v>
      </c>
      <c r="J157" t="s">
        <v>1459</v>
      </c>
    </row>
    <row r="158" spans="1:10" x14ac:dyDescent="0.35">
      <c r="A158" t="s">
        <v>877</v>
      </c>
      <c r="B158" s="4" t="s">
        <v>189</v>
      </c>
      <c r="C158" s="4" t="s">
        <v>176</v>
      </c>
      <c r="D158" s="4" t="s">
        <v>177</v>
      </c>
      <c r="E158" s="4" t="s">
        <v>178</v>
      </c>
      <c r="F158" s="6">
        <v>37.92</v>
      </c>
      <c r="G158" s="6">
        <v>0</v>
      </c>
      <c r="H158" s="6">
        <f t="shared" si="4"/>
        <v>53.088000000000001</v>
      </c>
      <c r="I158" s="6">
        <f t="shared" si="5"/>
        <v>53.088000000000001</v>
      </c>
      <c r="J158" t="s">
        <v>1460</v>
      </c>
    </row>
    <row r="159" spans="1:10" x14ac:dyDescent="0.35">
      <c r="A159" t="s">
        <v>878</v>
      </c>
      <c r="B159" s="4" t="s">
        <v>190</v>
      </c>
      <c r="C159" s="4" t="s">
        <v>176</v>
      </c>
      <c r="D159" s="4" t="s">
        <v>177</v>
      </c>
      <c r="E159" s="4" t="s">
        <v>178</v>
      </c>
      <c r="F159" s="6">
        <v>22.02</v>
      </c>
      <c r="G159" s="6">
        <v>0</v>
      </c>
      <c r="H159" s="6">
        <f t="shared" si="4"/>
        <v>30.827999999999999</v>
      </c>
      <c r="I159" s="6">
        <f t="shared" si="5"/>
        <v>30.827999999999999</v>
      </c>
      <c r="J159" t="s">
        <v>1461</v>
      </c>
    </row>
    <row r="160" spans="1:10" x14ac:dyDescent="0.35">
      <c r="A160" t="s">
        <v>879</v>
      </c>
      <c r="B160" s="4" t="s">
        <v>191</v>
      </c>
      <c r="C160" s="4" t="s">
        <v>176</v>
      </c>
      <c r="D160" s="4" t="s">
        <v>177</v>
      </c>
      <c r="E160" s="4" t="s">
        <v>178</v>
      </c>
      <c r="F160" s="6">
        <v>55.3</v>
      </c>
      <c r="G160" s="6">
        <v>0</v>
      </c>
      <c r="H160" s="6">
        <f t="shared" si="4"/>
        <v>77.42</v>
      </c>
      <c r="I160" s="6">
        <f t="shared" si="5"/>
        <v>77.42</v>
      </c>
      <c r="J160" t="s">
        <v>1462</v>
      </c>
    </row>
    <row r="161" spans="1:10" x14ac:dyDescent="0.35">
      <c r="A161" t="s">
        <v>880</v>
      </c>
      <c r="B161" s="4" t="s">
        <v>192</v>
      </c>
      <c r="C161" s="4" t="s">
        <v>176</v>
      </c>
      <c r="D161" s="4" t="s">
        <v>177</v>
      </c>
      <c r="E161" s="4" t="s">
        <v>178</v>
      </c>
      <c r="F161" s="6">
        <v>55.3</v>
      </c>
      <c r="G161" s="6">
        <v>0</v>
      </c>
      <c r="H161" s="6">
        <f t="shared" si="4"/>
        <v>77.42</v>
      </c>
      <c r="I161" s="6">
        <f t="shared" si="5"/>
        <v>77.42</v>
      </c>
      <c r="J161" t="s">
        <v>1463</v>
      </c>
    </row>
    <row r="162" spans="1:10" x14ac:dyDescent="0.35">
      <c r="A162" t="s">
        <v>881</v>
      </c>
      <c r="B162" s="4" t="s">
        <v>193</v>
      </c>
      <c r="C162" s="4" t="s">
        <v>176</v>
      </c>
      <c r="D162" s="4" t="s">
        <v>177</v>
      </c>
      <c r="E162" s="4" t="s">
        <v>178</v>
      </c>
      <c r="F162" s="6">
        <v>55.3</v>
      </c>
      <c r="G162" s="6">
        <v>0</v>
      </c>
      <c r="H162" s="6">
        <f t="shared" si="4"/>
        <v>77.42</v>
      </c>
      <c r="I162" s="6">
        <f t="shared" si="5"/>
        <v>77.42</v>
      </c>
      <c r="J162" t="s">
        <v>1468</v>
      </c>
    </row>
    <row r="163" spans="1:10" x14ac:dyDescent="0.35">
      <c r="A163" t="s">
        <v>882</v>
      </c>
      <c r="B163" s="4" t="s">
        <v>194</v>
      </c>
      <c r="C163" s="4" t="s">
        <v>176</v>
      </c>
      <c r="D163" s="4" t="s">
        <v>177</v>
      </c>
      <c r="E163" s="4" t="s">
        <v>195</v>
      </c>
      <c r="F163" s="6">
        <v>42</v>
      </c>
      <c r="G163" s="6">
        <v>0</v>
      </c>
      <c r="H163" s="6">
        <f t="shared" si="4"/>
        <v>58.8</v>
      </c>
      <c r="I163" s="6">
        <f t="shared" si="5"/>
        <v>58.8</v>
      </c>
      <c r="J163" t="s">
        <v>1469</v>
      </c>
    </row>
    <row r="164" spans="1:10" x14ac:dyDescent="0.35">
      <c r="A164" t="s">
        <v>883</v>
      </c>
      <c r="B164" s="4" t="s">
        <v>196</v>
      </c>
      <c r="C164" s="4" t="s">
        <v>176</v>
      </c>
      <c r="D164" s="4" t="s">
        <v>177</v>
      </c>
      <c r="E164" s="4" t="s">
        <v>195</v>
      </c>
      <c r="F164" s="6">
        <v>42</v>
      </c>
      <c r="G164" s="6">
        <v>0</v>
      </c>
      <c r="H164" s="6">
        <f t="shared" si="4"/>
        <v>58.8</v>
      </c>
      <c r="I164" s="6">
        <f t="shared" si="5"/>
        <v>58.8</v>
      </c>
      <c r="J164" t="s">
        <v>1470</v>
      </c>
    </row>
    <row r="165" spans="1:10" x14ac:dyDescent="0.35">
      <c r="A165" t="s">
        <v>884</v>
      </c>
      <c r="B165" s="4" t="s">
        <v>197</v>
      </c>
      <c r="C165" s="4" t="s">
        <v>176</v>
      </c>
      <c r="D165" s="4" t="s">
        <v>177</v>
      </c>
      <c r="E165" s="4" t="s">
        <v>195</v>
      </c>
      <c r="F165" s="6">
        <v>42</v>
      </c>
      <c r="G165" s="6">
        <v>0</v>
      </c>
      <c r="H165" s="6">
        <f t="shared" si="4"/>
        <v>58.8</v>
      </c>
      <c r="I165" s="6">
        <f t="shared" si="5"/>
        <v>58.8</v>
      </c>
      <c r="J165" t="s">
        <v>1471</v>
      </c>
    </row>
    <row r="166" spans="1:10" x14ac:dyDescent="0.35">
      <c r="A166" t="s">
        <v>885</v>
      </c>
      <c r="B166" s="4" t="s">
        <v>198</v>
      </c>
      <c r="C166" s="4" t="s">
        <v>176</v>
      </c>
      <c r="D166" s="4" t="s">
        <v>177</v>
      </c>
      <c r="E166" s="4" t="s">
        <v>199</v>
      </c>
      <c r="F166" s="6">
        <v>5</v>
      </c>
      <c r="G166" s="6">
        <v>0</v>
      </c>
      <c r="H166" s="6">
        <f t="shared" si="4"/>
        <v>7</v>
      </c>
      <c r="I166" s="6">
        <f t="shared" si="5"/>
        <v>7</v>
      </c>
      <c r="J166" t="s">
        <v>1472</v>
      </c>
    </row>
    <row r="167" spans="1:10" x14ac:dyDescent="0.35">
      <c r="A167" t="s">
        <v>886</v>
      </c>
      <c r="B167" s="4" t="s">
        <v>200</v>
      </c>
      <c r="C167" s="4" t="s">
        <v>176</v>
      </c>
      <c r="D167" s="4" t="s">
        <v>177</v>
      </c>
      <c r="E167" s="4" t="s">
        <v>199</v>
      </c>
      <c r="F167" s="6">
        <v>1.95</v>
      </c>
      <c r="G167" s="6">
        <v>0</v>
      </c>
      <c r="H167" s="6">
        <f t="shared" si="4"/>
        <v>2.73</v>
      </c>
      <c r="I167" s="6">
        <f t="shared" si="5"/>
        <v>2.73</v>
      </c>
      <c r="J167" t="s">
        <v>1473</v>
      </c>
    </row>
    <row r="168" spans="1:10" x14ac:dyDescent="0.35">
      <c r="A168" t="s">
        <v>887</v>
      </c>
      <c r="B168" s="4" t="s">
        <v>201</v>
      </c>
      <c r="C168" s="4" t="s">
        <v>176</v>
      </c>
      <c r="D168" s="4" t="s">
        <v>177</v>
      </c>
      <c r="E168" s="4" t="s">
        <v>199</v>
      </c>
      <c r="F168" s="6">
        <v>2.04</v>
      </c>
      <c r="G168" s="6">
        <v>0</v>
      </c>
      <c r="H168" s="6">
        <f t="shared" si="4"/>
        <v>2.8559999999999999</v>
      </c>
      <c r="I168" s="6">
        <f t="shared" si="5"/>
        <v>2.8559999999999999</v>
      </c>
      <c r="J168" t="s">
        <v>1474</v>
      </c>
    </row>
    <row r="169" spans="1:10" x14ac:dyDescent="0.35">
      <c r="A169" t="s">
        <v>888</v>
      </c>
      <c r="B169" s="4" t="s">
        <v>202</v>
      </c>
      <c r="C169" s="4" t="s">
        <v>176</v>
      </c>
      <c r="D169" s="4" t="s">
        <v>177</v>
      </c>
      <c r="E169" s="4" t="s">
        <v>199</v>
      </c>
      <c r="F169" s="6">
        <v>2.93</v>
      </c>
      <c r="G169" s="6">
        <v>0</v>
      </c>
      <c r="H169" s="6">
        <f t="shared" si="4"/>
        <v>4.1020000000000003</v>
      </c>
      <c r="I169" s="6">
        <f t="shared" si="5"/>
        <v>4.1020000000000003</v>
      </c>
      <c r="J169" t="s">
        <v>1475</v>
      </c>
    </row>
    <row r="170" spans="1:10" x14ac:dyDescent="0.35">
      <c r="A170" t="s">
        <v>889</v>
      </c>
      <c r="B170" s="4" t="s">
        <v>203</v>
      </c>
      <c r="C170" s="4" t="s">
        <v>176</v>
      </c>
      <c r="D170" s="4" t="s">
        <v>177</v>
      </c>
      <c r="E170" s="4" t="s">
        <v>199</v>
      </c>
      <c r="F170" s="6">
        <v>2.93</v>
      </c>
      <c r="G170" s="6">
        <v>0</v>
      </c>
      <c r="H170" s="6">
        <f t="shared" si="4"/>
        <v>4.1020000000000003</v>
      </c>
      <c r="I170" s="6">
        <f t="shared" si="5"/>
        <v>4.1020000000000003</v>
      </c>
      <c r="J170" t="s">
        <v>1476</v>
      </c>
    </row>
    <row r="171" spans="1:10" x14ac:dyDescent="0.35">
      <c r="A171" t="s">
        <v>890</v>
      </c>
      <c r="B171" s="4" t="s">
        <v>204</v>
      </c>
      <c r="C171" s="4" t="s">
        <v>205</v>
      </c>
      <c r="D171" s="4" t="s">
        <v>177</v>
      </c>
      <c r="E171" s="4" t="s">
        <v>178</v>
      </c>
      <c r="F171" s="6">
        <v>28.64</v>
      </c>
      <c r="G171" s="6">
        <v>0</v>
      </c>
      <c r="H171" s="6">
        <f t="shared" si="4"/>
        <v>40.096000000000004</v>
      </c>
      <c r="I171" s="6">
        <f t="shared" si="5"/>
        <v>40.096000000000004</v>
      </c>
      <c r="J171" t="s">
        <v>1480</v>
      </c>
    </row>
    <row r="172" spans="1:10" x14ac:dyDescent="0.35">
      <c r="A172" t="s">
        <v>891</v>
      </c>
      <c r="B172" s="4" t="s">
        <v>1477</v>
      </c>
      <c r="C172" s="4" t="s">
        <v>205</v>
      </c>
      <c r="D172" s="4" t="s">
        <v>177</v>
      </c>
      <c r="E172" s="4" t="s">
        <v>178</v>
      </c>
      <c r="F172" s="6">
        <v>28.64</v>
      </c>
      <c r="G172" s="6">
        <v>0</v>
      </c>
      <c r="H172" s="6">
        <f t="shared" si="4"/>
        <v>40.096000000000004</v>
      </c>
      <c r="I172" s="6">
        <f t="shared" si="5"/>
        <v>40.096000000000004</v>
      </c>
      <c r="J172" t="s">
        <v>1481</v>
      </c>
    </row>
    <row r="173" spans="1:10" x14ac:dyDescent="0.35">
      <c r="A173" t="s">
        <v>892</v>
      </c>
      <c r="B173" s="4" t="s">
        <v>1478</v>
      </c>
      <c r="C173" s="4" t="s">
        <v>205</v>
      </c>
      <c r="D173" s="4" t="s">
        <v>177</v>
      </c>
      <c r="E173" s="4" t="s">
        <v>178</v>
      </c>
      <c r="F173" s="6">
        <v>0</v>
      </c>
      <c r="G173" s="6">
        <v>0</v>
      </c>
      <c r="H173" s="6">
        <f t="shared" ref="H173:H174" si="6">(F173*0.4)+F173</f>
        <v>0</v>
      </c>
      <c r="I173" s="6">
        <f t="shared" ref="I173:I174" si="7">((F173+G173)*0.4)+(F173+G173)</f>
        <v>0</v>
      </c>
      <c r="J173" t="s">
        <v>1482</v>
      </c>
    </row>
    <row r="174" spans="1:10" x14ac:dyDescent="0.35">
      <c r="A174" t="s">
        <v>893</v>
      </c>
      <c r="B174" s="4" t="s">
        <v>1479</v>
      </c>
      <c r="C174" s="4" t="s">
        <v>205</v>
      </c>
      <c r="D174" s="4" t="s">
        <v>177</v>
      </c>
      <c r="E174" s="4" t="s">
        <v>178</v>
      </c>
      <c r="F174" s="6">
        <v>0</v>
      </c>
      <c r="G174" s="6">
        <v>0</v>
      </c>
      <c r="H174" s="6">
        <f t="shared" si="6"/>
        <v>0</v>
      </c>
      <c r="I174" s="6">
        <f t="shared" si="7"/>
        <v>0</v>
      </c>
      <c r="J174" t="s">
        <v>1483</v>
      </c>
    </row>
    <row r="175" spans="1:10" x14ac:dyDescent="0.35">
      <c r="A175" t="s">
        <v>894</v>
      </c>
      <c r="B175" s="4" t="s">
        <v>1484</v>
      </c>
      <c r="C175" s="4" t="s">
        <v>205</v>
      </c>
      <c r="D175" s="4" t="s">
        <v>177</v>
      </c>
      <c r="E175" s="4" t="s">
        <v>178</v>
      </c>
      <c r="F175" s="6">
        <v>17.28</v>
      </c>
      <c r="G175" s="6">
        <v>0</v>
      </c>
      <c r="H175" s="6">
        <f t="shared" si="4"/>
        <v>24.192</v>
      </c>
      <c r="I175" s="6">
        <f t="shared" si="5"/>
        <v>24.192</v>
      </c>
      <c r="J175" t="s">
        <v>1486</v>
      </c>
    </row>
    <row r="176" spans="1:10" x14ac:dyDescent="0.35">
      <c r="A176" t="s">
        <v>895</v>
      </c>
      <c r="B176" s="4" t="s">
        <v>1485</v>
      </c>
      <c r="C176" s="4" t="s">
        <v>205</v>
      </c>
      <c r="D176" s="4" t="s">
        <v>177</v>
      </c>
      <c r="E176" s="4" t="s">
        <v>178</v>
      </c>
      <c r="F176" s="6">
        <v>0</v>
      </c>
      <c r="G176" s="6">
        <v>0</v>
      </c>
      <c r="H176" s="6">
        <f t="shared" ref="H176" si="8">(F176*0.4)+F176</f>
        <v>0</v>
      </c>
      <c r="I176" s="6">
        <f t="shared" ref="I176" si="9">((F176+G176)*0.4)+(F176+G176)</f>
        <v>0</v>
      </c>
      <c r="J176" t="s">
        <v>1487</v>
      </c>
    </row>
    <row r="177" spans="1:10" x14ac:dyDescent="0.35">
      <c r="A177" t="s">
        <v>896</v>
      </c>
      <c r="B177" s="4" t="s">
        <v>206</v>
      </c>
      <c r="C177" s="4" t="s">
        <v>205</v>
      </c>
      <c r="D177" s="4" t="s">
        <v>177</v>
      </c>
      <c r="E177" s="4" t="s">
        <v>178</v>
      </c>
      <c r="F177" s="6">
        <v>20</v>
      </c>
      <c r="G177" s="6">
        <v>0</v>
      </c>
      <c r="H177" s="6">
        <f t="shared" si="4"/>
        <v>28</v>
      </c>
      <c r="I177" s="6">
        <f t="shared" si="5"/>
        <v>28</v>
      </c>
      <c r="J177" t="s">
        <v>1488</v>
      </c>
    </row>
    <row r="178" spans="1:10" x14ac:dyDescent="0.35">
      <c r="A178" t="s">
        <v>897</v>
      </c>
      <c r="B178" s="4" t="s">
        <v>207</v>
      </c>
      <c r="C178" s="4" t="s">
        <v>205</v>
      </c>
      <c r="D178" s="4" t="s">
        <v>177</v>
      </c>
      <c r="E178" s="4" t="s">
        <v>178</v>
      </c>
      <c r="F178" s="6">
        <v>20</v>
      </c>
      <c r="G178" s="6">
        <v>0</v>
      </c>
      <c r="H178" s="6">
        <f t="shared" si="4"/>
        <v>28</v>
      </c>
      <c r="I178" s="6">
        <f t="shared" si="5"/>
        <v>28</v>
      </c>
      <c r="J178" t="s">
        <v>1489</v>
      </c>
    </row>
    <row r="179" spans="1:10" x14ac:dyDescent="0.35">
      <c r="A179" t="s">
        <v>898</v>
      </c>
      <c r="B179" s="4" t="s">
        <v>208</v>
      </c>
      <c r="C179" s="4" t="s">
        <v>205</v>
      </c>
      <c r="D179" s="4" t="s">
        <v>177</v>
      </c>
      <c r="E179" s="4" t="s">
        <v>178</v>
      </c>
      <c r="F179" s="6">
        <v>30.5</v>
      </c>
      <c r="G179" s="6">
        <v>0</v>
      </c>
      <c r="H179" s="6">
        <f t="shared" si="4"/>
        <v>42.7</v>
      </c>
      <c r="I179" s="6">
        <f t="shared" si="5"/>
        <v>42.7</v>
      </c>
      <c r="J179" t="s">
        <v>1490</v>
      </c>
    </row>
    <row r="180" spans="1:10" x14ac:dyDescent="0.35">
      <c r="A180" t="s">
        <v>899</v>
      </c>
      <c r="B180" s="4" t="s">
        <v>209</v>
      </c>
      <c r="C180" s="4" t="s">
        <v>205</v>
      </c>
      <c r="D180" s="4" t="s">
        <v>177</v>
      </c>
      <c r="E180" s="4" t="s">
        <v>178</v>
      </c>
      <c r="F180" s="6">
        <v>29.76</v>
      </c>
      <c r="G180" s="6">
        <v>0</v>
      </c>
      <c r="H180" s="6">
        <f t="shared" si="4"/>
        <v>41.664000000000001</v>
      </c>
      <c r="I180" s="6">
        <f t="shared" si="5"/>
        <v>41.664000000000001</v>
      </c>
      <c r="J180" t="s">
        <v>1491</v>
      </c>
    </row>
    <row r="181" spans="1:10" x14ac:dyDescent="0.35">
      <c r="A181" t="s">
        <v>900</v>
      </c>
      <c r="B181" s="4" t="s">
        <v>210</v>
      </c>
      <c r="C181" s="4" t="s">
        <v>205</v>
      </c>
      <c r="D181" s="4" t="s">
        <v>177</v>
      </c>
      <c r="E181" s="4" t="s">
        <v>178</v>
      </c>
      <c r="F181" s="6">
        <v>29.76</v>
      </c>
      <c r="G181" s="6">
        <v>0</v>
      </c>
      <c r="H181" s="6">
        <f t="shared" si="4"/>
        <v>41.664000000000001</v>
      </c>
      <c r="I181" s="6">
        <f t="shared" si="5"/>
        <v>41.664000000000001</v>
      </c>
      <c r="J181" t="s">
        <v>1492</v>
      </c>
    </row>
    <row r="182" spans="1:10" x14ac:dyDescent="0.35">
      <c r="A182" t="s">
        <v>901</v>
      </c>
      <c r="B182" s="4" t="s">
        <v>211</v>
      </c>
      <c r="C182" s="4" t="s">
        <v>205</v>
      </c>
      <c r="D182" s="4" t="s">
        <v>177</v>
      </c>
      <c r="E182" s="4" t="s">
        <v>178</v>
      </c>
      <c r="F182" s="6">
        <v>29</v>
      </c>
      <c r="G182" s="6">
        <v>0</v>
      </c>
      <c r="H182" s="6">
        <f t="shared" si="4"/>
        <v>40.6</v>
      </c>
      <c r="I182" s="6">
        <f t="shared" si="5"/>
        <v>40.6</v>
      </c>
      <c r="J182" t="s">
        <v>1493</v>
      </c>
    </row>
    <row r="183" spans="1:10" x14ac:dyDescent="0.35">
      <c r="A183" t="s">
        <v>902</v>
      </c>
      <c r="B183" s="4" t="s">
        <v>1494</v>
      </c>
      <c r="C183" s="4" t="s">
        <v>205</v>
      </c>
      <c r="D183" s="4" t="s">
        <v>177</v>
      </c>
      <c r="E183" s="4" t="s">
        <v>178</v>
      </c>
      <c r="F183" s="6">
        <v>25</v>
      </c>
      <c r="G183" s="6">
        <v>0</v>
      </c>
      <c r="H183" s="6">
        <f t="shared" si="4"/>
        <v>35</v>
      </c>
      <c r="I183" s="6">
        <f t="shared" si="5"/>
        <v>35</v>
      </c>
      <c r="J183" t="s">
        <v>1497</v>
      </c>
    </row>
    <row r="184" spans="1:10" x14ac:dyDescent="0.35">
      <c r="A184" t="s">
        <v>903</v>
      </c>
      <c r="B184" s="4" t="s">
        <v>1495</v>
      </c>
      <c r="C184" s="4" t="s">
        <v>205</v>
      </c>
      <c r="D184" s="4" t="s">
        <v>177</v>
      </c>
      <c r="E184" s="4" t="s">
        <v>178</v>
      </c>
      <c r="F184" s="6">
        <v>0</v>
      </c>
      <c r="G184" s="6">
        <v>0</v>
      </c>
      <c r="H184" s="6">
        <f t="shared" ref="H184:H185" si="10">(F184*0.4)+F184</f>
        <v>0</v>
      </c>
      <c r="I184" s="6">
        <f t="shared" ref="I184:I185" si="11">((F184+G184)*0.4)+(F184+G184)</f>
        <v>0</v>
      </c>
      <c r="J184" t="s">
        <v>1498</v>
      </c>
    </row>
    <row r="185" spans="1:10" x14ac:dyDescent="0.35">
      <c r="A185" t="s">
        <v>904</v>
      </c>
      <c r="B185" s="4" t="s">
        <v>1496</v>
      </c>
      <c r="C185" s="4" t="s">
        <v>205</v>
      </c>
      <c r="D185" s="4" t="s">
        <v>177</v>
      </c>
      <c r="E185" s="4" t="s">
        <v>178</v>
      </c>
      <c r="F185" s="6">
        <v>0</v>
      </c>
      <c r="G185" s="6">
        <v>0</v>
      </c>
      <c r="H185" s="6">
        <f t="shared" si="10"/>
        <v>0</v>
      </c>
      <c r="I185" s="6">
        <f t="shared" si="11"/>
        <v>0</v>
      </c>
      <c r="J185" t="s">
        <v>1499</v>
      </c>
    </row>
    <row r="186" spans="1:10" x14ac:dyDescent="0.35">
      <c r="A186" t="s">
        <v>905</v>
      </c>
      <c r="B186" s="4" t="s">
        <v>212</v>
      </c>
      <c r="C186" s="4" t="s">
        <v>205</v>
      </c>
      <c r="D186" s="4" t="s">
        <v>177</v>
      </c>
      <c r="E186" s="4" t="s">
        <v>178</v>
      </c>
      <c r="F186" s="6">
        <v>46.4</v>
      </c>
      <c r="G186" s="6">
        <v>0</v>
      </c>
      <c r="H186" s="6">
        <f t="shared" si="4"/>
        <v>64.959999999999994</v>
      </c>
      <c r="I186" s="6">
        <f t="shared" si="5"/>
        <v>64.959999999999994</v>
      </c>
      <c r="J186" t="s">
        <v>1500</v>
      </c>
    </row>
    <row r="187" spans="1:10" x14ac:dyDescent="0.35">
      <c r="A187" t="s">
        <v>906</v>
      </c>
      <c r="B187" s="4" t="s">
        <v>213</v>
      </c>
      <c r="C187" s="4" t="s">
        <v>205</v>
      </c>
      <c r="D187" s="4" t="s">
        <v>177</v>
      </c>
      <c r="E187" s="4" t="s">
        <v>178</v>
      </c>
      <c r="F187" s="6">
        <v>25</v>
      </c>
      <c r="G187" s="6">
        <v>0</v>
      </c>
      <c r="H187" s="6">
        <f t="shared" si="4"/>
        <v>35</v>
      </c>
      <c r="I187" s="6">
        <f t="shared" si="5"/>
        <v>35</v>
      </c>
      <c r="J187" t="s">
        <v>1501</v>
      </c>
    </row>
    <row r="188" spans="1:10" x14ac:dyDescent="0.35">
      <c r="A188" t="s">
        <v>907</v>
      </c>
      <c r="B188" s="4" t="s">
        <v>214</v>
      </c>
      <c r="C188" s="4" t="s">
        <v>205</v>
      </c>
      <c r="D188" s="4" t="s">
        <v>177</v>
      </c>
      <c r="E188" s="4" t="s">
        <v>178</v>
      </c>
      <c r="F188" s="6">
        <v>0</v>
      </c>
      <c r="G188" s="6">
        <v>0</v>
      </c>
      <c r="H188" s="6">
        <f t="shared" si="4"/>
        <v>0</v>
      </c>
      <c r="I188" s="6">
        <f t="shared" si="5"/>
        <v>0</v>
      </c>
      <c r="J188" t="s">
        <v>1502</v>
      </c>
    </row>
    <row r="189" spans="1:10" x14ac:dyDescent="0.35">
      <c r="A189" t="s">
        <v>908</v>
      </c>
      <c r="B189" s="4" t="s">
        <v>215</v>
      </c>
      <c r="C189" s="4" t="s">
        <v>205</v>
      </c>
      <c r="D189" s="4" t="s">
        <v>177</v>
      </c>
      <c r="E189" s="4" t="s">
        <v>178</v>
      </c>
      <c r="F189" s="6">
        <v>0</v>
      </c>
      <c r="G189" s="6">
        <v>0</v>
      </c>
      <c r="H189" s="6">
        <f t="shared" si="4"/>
        <v>0</v>
      </c>
      <c r="I189" s="6">
        <f t="shared" si="5"/>
        <v>0</v>
      </c>
      <c r="J189" t="s">
        <v>1503</v>
      </c>
    </row>
    <row r="190" spans="1:10" x14ac:dyDescent="0.35">
      <c r="A190" t="s">
        <v>909</v>
      </c>
      <c r="B190" s="4" t="s">
        <v>216</v>
      </c>
      <c r="C190" s="4" t="s">
        <v>205</v>
      </c>
      <c r="D190" s="4" t="s">
        <v>177</v>
      </c>
      <c r="E190" s="4" t="s">
        <v>178</v>
      </c>
      <c r="F190" s="6">
        <v>0</v>
      </c>
      <c r="G190" s="6">
        <v>0</v>
      </c>
      <c r="H190" s="6">
        <f t="shared" si="4"/>
        <v>0</v>
      </c>
      <c r="I190" s="6">
        <f t="shared" si="5"/>
        <v>0</v>
      </c>
      <c r="J190" t="s">
        <v>1504</v>
      </c>
    </row>
    <row r="191" spans="1:10" x14ac:dyDescent="0.35">
      <c r="A191" t="s">
        <v>910</v>
      </c>
      <c r="B191" s="4" t="s">
        <v>1505</v>
      </c>
      <c r="C191" s="4" t="s">
        <v>217</v>
      </c>
      <c r="D191" s="4" t="s">
        <v>177</v>
      </c>
      <c r="E191" s="4" t="s">
        <v>178</v>
      </c>
      <c r="F191" s="6">
        <v>41.82</v>
      </c>
      <c r="G191" s="6">
        <v>0</v>
      </c>
      <c r="H191" s="6">
        <f t="shared" si="4"/>
        <v>58.548000000000002</v>
      </c>
      <c r="I191" s="6">
        <f t="shared" si="5"/>
        <v>58.548000000000002</v>
      </c>
      <c r="J191" t="s">
        <v>1507</v>
      </c>
    </row>
    <row r="192" spans="1:10" x14ac:dyDescent="0.35">
      <c r="A192" t="s">
        <v>911</v>
      </c>
      <c r="B192" s="4" t="s">
        <v>1506</v>
      </c>
      <c r="C192" s="4" t="s">
        <v>217</v>
      </c>
      <c r="D192" s="4" t="s">
        <v>177</v>
      </c>
      <c r="E192" s="4" t="s">
        <v>178</v>
      </c>
      <c r="F192" s="6">
        <v>18.27</v>
      </c>
      <c r="G192" s="6">
        <v>0</v>
      </c>
      <c r="H192" s="6">
        <f t="shared" si="4"/>
        <v>25.577999999999999</v>
      </c>
      <c r="I192" s="6">
        <f t="shared" si="5"/>
        <v>25.577999999999999</v>
      </c>
      <c r="J192" t="s">
        <v>1508</v>
      </c>
    </row>
    <row r="193" spans="1:10" x14ac:dyDescent="0.35">
      <c r="A193" t="s">
        <v>912</v>
      </c>
      <c r="B193" s="4" t="s">
        <v>218</v>
      </c>
      <c r="C193" s="4" t="s">
        <v>217</v>
      </c>
      <c r="D193" s="4" t="s">
        <v>177</v>
      </c>
      <c r="E193" s="4" t="s">
        <v>178</v>
      </c>
      <c r="F193" s="6">
        <v>38</v>
      </c>
      <c r="G193" s="6">
        <v>0</v>
      </c>
      <c r="H193" s="6">
        <f t="shared" si="4"/>
        <v>53.2</v>
      </c>
      <c r="I193" s="6">
        <f t="shared" si="5"/>
        <v>53.2</v>
      </c>
      <c r="J193" t="s">
        <v>1509</v>
      </c>
    </row>
    <row r="194" spans="1:10" x14ac:dyDescent="0.35">
      <c r="A194" t="s">
        <v>913</v>
      </c>
      <c r="B194" s="4" t="s">
        <v>219</v>
      </c>
      <c r="C194" s="4" t="s">
        <v>220</v>
      </c>
      <c r="D194" s="4" t="s">
        <v>177</v>
      </c>
      <c r="E194" s="4" t="s">
        <v>178</v>
      </c>
      <c r="F194" s="6">
        <v>12.86</v>
      </c>
      <c r="G194" s="6">
        <v>0</v>
      </c>
      <c r="H194" s="6">
        <f t="shared" si="4"/>
        <v>18.003999999999998</v>
      </c>
      <c r="I194" s="6">
        <f t="shared" si="5"/>
        <v>18.003999999999998</v>
      </c>
      <c r="J194" t="s">
        <v>1510</v>
      </c>
    </row>
    <row r="195" spans="1:10" x14ac:dyDescent="0.35">
      <c r="A195" t="s">
        <v>914</v>
      </c>
      <c r="B195" s="4" t="s">
        <v>221</v>
      </c>
      <c r="C195" s="4" t="s">
        <v>220</v>
      </c>
      <c r="D195" s="4" t="s">
        <v>177</v>
      </c>
      <c r="E195" s="4" t="s">
        <v>178</v>
      </c>
      <c r="F195" s="6">
        <v>12.86</v>
      </c>
      <c r="G195" s="6">
        <v>0</v>
      </c>
      <c r="H195" s="6">
        <f t="shared" si="4"/>
        <v>18.003999999999998</v>
      </c>
      <c r="I195" s="6">
        <f t="shared" si="5"/>
        <v>18.003999999999998</v>
      </c>
      <c r="J195" t="s">
        <v>1511</v>
      </c>
    </row>
    <row r="196" spans="1:10" x14ac:dyDescent="0.35">
      <c r="A196" t="s">
        <v>915</v>
      </c>
      <c r="B196" s="4" t="s">
        <v>222</v>
      </c>
      <c r="C196" s="4" t="s">
        <v>220</v>
      </c>
      <c r="D196" s="4" t="s">
        <v>177</v>
      </c>
      <c r="E196" s="4" t="s">
        <v>178</v>
      </c>
      <c r="F196" s="6">
        <v>12.86</v>
      </c>
      <c r="G196" s="6">
        <v>0</v>
      </c>
      <c r="H196" s="6">
        <f t="shared" si="4"/>
        <v>18.003999999999998</v>
      </c>
      <c r="I196" s="6">
        <f t="shared" si="5"/>
        <v>18.003999999999998</v>
      </c>
      <c r="J196" t="s">
        <v>1512</v>
      </c>
    </row>
    <row r="197" spans="1:10" x14ac:dyDescent="0.35">
      <c r="A197" t="s">
        <v>916</v>
      </c>
      <c r="B197" s="4" t="s">
        <v>223</v>
      </c>
      <c r="C197" s="4" t="s">
        <v>220</v>
      </c>
      <c r="D197" s="4" t="s">
        <v>177</v>
      </c>
      <c r="E197" s="4" t="s">
        <v>178</v>
      </c>
      <c r="F197" s="6">
        <v>39.5</v>
      </c>
      <c r="G197" s="6">
        <v>0</v>
      </c>
      <c r="H197" s="6">
        <f t="shared" ref="H197:H244" si="12">(F197*0.4)+F197</f>
        <v>55.3</v>
      </c>
      <c r="I197" s="6">
        <f t="shared" ref="I197:I244" si="13">((F197+G197)*0.4)+(F197+G197)</f>
        <v>55.3</v>
      </c>
      <c r="J197" t="s">
        <v>1513</v>
      </c>
    </row>
    <row r="198" spans="1:10" x14ac:dyDescent="0.35">
      <c r="A198" t="s">
        <v>917</v>
      </c>
      <c r="B198" s="4" t="s">
        <v>224</v>
      </c>
      <c r="C198" s="4" t="s">
        <v>220</v>
      </c>
      <c r="D198" s="4" t="s">
        <v>177</v>
      </c>
      <c r="E198" s="4" t="s">
        <v>178</v>
      </c>
      <c r="F198" s="6">
        <v>42.25</v>
      </c>
      <c r="G198" s="6">
        <v>0</v>
      </c>
      <c r="H198" s="6">
        <f t="shared" si="12"/>
        <v>59.150000000000006</v>
      </c>
      <c r="I198" s="6">
        <f t="shared" si="13"/>
        <v>59.150000000000006</v>
      </c>
      <c r="J198" t="s">
        <v>1514</v>
      </c>
    </row>
    <row r="199" spans="1:10" x14ac:dyDescent="0.35">
      <c r="A199" t="s">
        <v>918</v>
      </c>
      <c r="B199" s="4" t="s">
        <v>225</v>
      </c>
      <c r="C199" s="4" t="s">
        <v>220</v>
      </c>
      <c r="D199" s="4" t="s">
        <v>177</v>
      </c>
      <c r="E199" s="4" t="s">
        <v>178</v>
      </c>
      <c r="F199" s="6">
        <v>44.01</v>
      </c>
      <c r="G199" s="6">
        <v>0</v>
      </c>
      <c r="H199" s="6">
        <f t="shared" si="12"/>
        <v>61.613999999999997</v>
      </c>
      <c r="I199" s="6">
        <f t="shared" si="13"/>
        <v>61.613999999999997</v>
      </c>
      <c r="J199" t="s">
        <v>1515</v>
      </c>
    </row>
    <row r="200" spans="1:10" x14ac:dyDescent="0.35">
      <c r="A200" t="s">
        <v>919</v>
      </c>
      <c r="B200" s="4" t="s">
        <v>226</v>
      </c>
      <c r="C200" s="4" t="s">
        <v>220</v>
      </c>
      <c r="D200" s="4" t="s">
        <v>177</v>
      </c>
      <c r="E200" s="4" t="s">
        <v>178</v>
      </c>
      <c r="F200" s="6">
        <v>44.01</v>
      </c>
      <c r="G200" s="6">
        <v>0</v>
      </c>
      <c r="H200" s="6">
        <f t="shared" si="12"/>
        <v>61.613999999999997</v>
      </c>
      <c r="I200" s="6">
        <f t="shared" si="13"/>
        <v>61.613999999999997</v>
      </c>
      <c r="J200" t="s">
        <v>1516</v>
      </c>
    </row>
    <row r="201" spans="1:10" x14ac:dyDescent="0.35">
      <c r="A201" t="s">
        <v>920</v>
      </c>
      <c r="B201" s="4" t="s">
        <v>227</v>
      </c>
      <c r="C201" s="4" t="s">
        <v>220</v>
      </c>
      <c r="D201" s="4" t="s">
        <v>177</v>
      </c>
      <c r="E201" s="4" t="s">
        <v>178</v>
      </c>
      <c r="F201" s="6">
        <v>34.72</v>
      </c>
      <c r="G201" s="6">
        <v>0</v>
      </c>
      <c r="H201" s="6">
        <f t="shared" si="12"/>
        <v>48.607999999999997</v>
      </c>
      <c r="I201" s="6">
        <f t="shared" si="13"/>
        <v>48.607999999999997</v>
      </c>
      <c r="J201" t="s">
        <v>1517</v>
      </c>
    </row>
    <row r="202" spans="1:10" x14ac:dyDescent="0.35">
      <c r="A202" t="s">
        <v>921</v>
      </c>
      <c r="B202" s="4" t="s">
        <v>228</v>
      </c>
      <c r="C202" s="4" t="s">
        <v>220</v>
      </c>
      <c r="D202" s="4" t="s">
        <v>177</v>
      </c>
      <c r="E202" s="4" t="s">
        <v>178</v>
      </c>
      <c r="F202" s="6">
        <v>61.98</v>
      </c>
      <c r="G202" s="6">
        <v>0</v>
      </c>
      <c r="H202" s="6">
        <f t="shared" si="12"/>
        <v>86.771999999999991</v>
      </c>
      <c r="I202" s="6">
        <f t="shared" si="13"/>
        <v>86.771999999999991</v>
      </c>
      <c r="J202" t="s">
        <v>1518</v>
      </c>
    </row>
    <row r="203" spans="1:10" x14ac:dyDescent="0.35">
      <c r="A203" t="s">
        <v>922</v>
      </c>
      <c r="B203" s="4" t="s">
        <v>229</v>
      </c>
      <c r="C203" s="4" t="s">
        <v>220</v>
      </c>
      <c r="D203" s="4" t="s">
        <v>177</v>
      </c>
      <c r="E203" s="4" t="s">
        <v>178</v>
      </c>
      <c r="F203" s="6">
        <v>61.98</v>
      </c>
      <c r="G203" s="6">
        <v>0</v>
      </c>
      <c r="H203" s="6">
        <f t="shared" si="12"/>
        <v>86.771999999999991</v>
      </c>
      <c r="I203" s="6">
        <f t="shared" si="13"/>
        <v>86.771999999999991</v>
      </c>
      <c r="J203" t="s">
        <v>1519</v>
      </c>
    </row>
    <row r="204" spans="1:10" x14ac:dyDescent="0.35">
      <c r="A204" t="s">
        <v>923</v>
      </c>
      <c r="B204" s="4" t="s">
        <v>230</v>
      </c>
      <c r="C204" s="4" t="s">
        <v>220</v>
      </c>
      <c r="D204" s="4" t="s">
        <v>177</v>
      </c>
      <c r="E204" s="4" t="s">
        <v>178</v>
      </c>
      <c r="F204" s="6">
        <v>61.98</v>
      </c>
      <c r="G204" s="6">
        <v>0</v>
      </c>
      <c r="H204" s="6">
        <f t="shared" si="12"/>
        <v>86.771999999999991</v>
      </c>
      <c r="I204" s="6">
        <f t="shared" si="13"/>
        <v>86.771999999999991</v>
      </c>
      <c r="J204" t="s">
        <v>1520</v>
      </c>
    </row>
    <row r="205" spans="1:10" x14ac:dyDescent="0.35">
      <c r="A205" t="s">
        <v>924</v>
      </c>
      <c r="B205" s="4" t="s">
        <v>231</v>
      </c>
      <c r="C205" s="4" t="s">
        <v>220</v>
      </c>
      <c r="D205" s="4" t="s">
        <v>177</v>
      </c>
      <c r="E205" s="4" t="s">
        <v>178</v>
      </c>
      <c r="F205" s="6">
        <v>25.28</v>
      </c>
      <c r="G205" s="6">
        <v>0</v>
      </c>
      <c r="H205" s="6">
        <f t="shared" si="12"/>
        <v>35.392000000000003</v>
      </c>
      <c r="I205" s="6">
        <f t="shared" si="13"/>
        <v>35.392000000000003</v>
      </c>
      <c r="J205" t="s">
        <v>1521</v>
      </c>
    </row>
    <row r="206" spans="1:10" x14ac:dyDescent="0.35">
      <c r="A206" t="s">
        <v>925</v>
      </c>
      <c r="B206" s="4" t="s">
        <v>232</v>
      </c>
      <c r="C206" s="4" t="s">
        <v>233</v>
      </c>
      <c r="D206" s="4" t="s">
        <v>177</v>
      </c>
      <c r="E206" s="4" t="s">
        <v>178</v>
      </c>
      <c r="F206" s="6">
        <v>35.18</v>
      </c>
      <c r="G206" s="6">
        <v>0</v>
      </c>
      <c r="H206" s="6">
        <f t="shared" si="12"/>
        <v>49.252000000000002</v>
      </c>
      <c r="I206" s="6">
        <f t="shared" si="13"/>
        <v>49.252000000000002</v>
      </c>
      <c r="J206" t="s">
        <v>1522</v>
      </c>
    </row>
    <row r="207" spans="1:10" x14ac:dyDescent="0.35">
      <c r="A207" t="s">
        <v>926</v>
      </c>
      <c r="B207" s="4" t="s">
        <v>234</v>
      </c>
      <c r="C207" s="4" t="s">
        <v>233</v>
      </c>
      <c r="D207" s="4" t="s">
        <v>177</v>
      </c>
      <c r="E207" s="4" t="s">
        <v>178</v>
      </c>
      <c r="F207" s="6">
        <v>34.72</v>
      </c>
      <c r="G207" s="6">
        <v>0</v>
      </c>
      <c r="H207" s="6">
        <f t="shared" si="12"/>
        <v>48.607999999999997</v>
      </c>
      <c r="I207" s="6">
        <f t="shared" si="13"/>
        <v>48.607999999999997</v>
      </c>
      <c r="J207" t="s">
        <v>1523</v>
      </c>
    </row>
    <row r="208" spans="1:10" x14ac:dyDescent="0.35">
      <c r="A208" t="s">
        <v>927</v>
      </c>
      <c r="B208" s="4" t="s">
        <v>235</v>
      </c>
      <c r="C208" s="4" t="s">
        <v>236</v>
      </c>
      <c r="D208" s="4" t="s">
        <v>177</v>
      </c>
      <c r="E208" s="4" t="s">
        <v>178</v>
      </c>
      <c r="F208" s="6">
        <v>31.72</v>
      </c>
      <c r="G208" s="6">
        <v>0</v>
      </c>
      <c r="H208" s="6">
        <f t="shared" si="12"/>
        <v>44.408000000000001</v>
      </c>
      <c r="I208" s="6">
        <f t="shared" si="13"/>
        <v>44.408000000000001</v>
      </c>
      <c r="J208" t="s">
        <v>1524</v>
      </c>
    </row>
    <row r="209" spans="1:10" x14ac:dyDescent="0.35">
      <c r="A209" t="s">
        <v>928</v>
      </c>
      <c r="B209" s="4" t="s">
        <v>237</v>
      </c>
      <c r="C209" s="4" t="s">
        <v>236</v>
      </c>
      <c r="D209" s="4" t="s">
        <v>177</v>
      </c>
      <c r="E209" s="4" t="s">
        <v>178</v>
      </c>
      <c r="F209" s="6">
        <v>31.72</v>
      </c>
      <c r="G209" s="6">
        <v>0</v>
      </c>
      <c r="H209" s="6">
        <f t="shared" si="12"/>
        <v>44.408000000000001</v>
      </c>
      <c r="I209" s="6">
        <f t="shared" si="13"/>
        <v>44.408000000000001</v>
      </c>
      <c r="J209" t="s">
        <v>1525</v>
      </c>
    </row>
    <row r="210" spans="1:10" x14ac:dyDescent="0.35">
      <c r="A210" t="s">
        <v>929</v>
      </c>
      <c r="B210" s="4" t="s">
        <v>238</v>
      </c>
      <c r="C210" s="4" t="s">
        <v>236</v>
      </c>
      <c r="D210" s="4" t="s">
        <v>177</v>
      </c>
      <c r="E210" s="4" t="s">
        <v>178</v>
      </c>
      <c r="F210" s="6">
        <v>31.72</v>
      </c>
      <c r="G210" s="6">
        <v>0</v>
      </c>
      <c r="H210" s="6">
        <f t="shared" si="12"/>
        <v>44.408000000000001</v>
      </c>
      <c r="I210" s="6">
        <f t="shared" si="13"/>
        <v>44.408000000000001</v>
      </c>
      <c r="J210" t="s">
        <v>1526</v>
      </c>
    </row>
    <row r="211" spans="1:10" x14ac:dyDescent="0.35">
      <c r="A211" t="s">
        <v>930</v>
      </c>
      <c r="B211" s="4" t="s">
        <v>239</v>
      </c>
      <c r="C211" s="4" t="s">
        <v>236</v>
      </c>
      <c r="D211" s="4" t="s">
        <v>177</v>
      </c>
      <c r="E211" s="4" t="s">
        <v>178</v>
      </c>
      <c r="F211" s="6">
        <v>31.72</v>
      </c>
      <c r="G211" s="6">
        <v>0</v>
      </c>
      <c r="H211" s="6">
        <f t="shared" si="12"/>
        <v>44.408000000000001</v>
      </c>
      <c r="I211" s="6">
        <f t="shared" si="13"/>
        <v>44.408000000000001</v>
      </c>
      <c r="J211" t="s">
        <v>1527</v>
      </c>
    </row>
    <row r="212" spans="1:10" x14ac:dyDescent="0.35">
      <c r="A212" t="s">
        <v>931</v>
      </c>
      <c r="B212" s="4" t="s">
        <v>240</v>
      </c>
      <c r="C212" s="4" t="s">
        <v>236</v>
      </c>
      <c r="D212" s="4" t="s">
        <v>177</v>
      </c>
      <c r="E212" s="4" t="s">
        <v>178</v>
      </c>
      <c r="F212" s="6">
        <v>31.72</v>
      </c>
      <c r="G212" s="6">
        <v>0</v>
      </c>
      <c r="H212" s="6">
        <f t="shared" si="12"/>
        <v>44.408000000000001</v>
      </c>
      <c r="I212" s="6">
        <f t="shared" si="13"/>
        <v>44.408000000000001</v>
      </c>
      <c r="J212" t="s">
        <v>1528</v>
      </c>
    </row>
    <row r="213" spans="1:10" x14ac:dyDescent="0.35">
      <c r="A213" t="s">
        <v>932</v>
      </c>
      <c r="B213" s="4" t="s">
        <v>241</v>
      </c>
      <c r="C213" s="4" t="s">
        <v>236</v>
      </c>
      <c r="D213" s="4" t="s">
        <v>177</v>
      </c>
      <c r="E213" s="4" t="s">
        <v>178</v>
      </c>
      <c r="F213" s="6">
        <v>31.72</v>
      </c>
      <c r="G213" s="6">
        <v>0</v>
      </c>
      <c r="H213" s="6">
        <f t="shared" si="12"/>
        <v>44.408000000000001</v>
      </c>
      <c r="I213" s="6">
        <f t="shared" si="13"/>
        <v>44.408000000000001</v>
      </c>
      <c r="J213" t="s">
        <v>1529</v>
      </c>
    </row>
    <row r="214" spans="1:10" x14ac:dyDescent="0.35">
      <c r="A214" t="s">
        <v>933</v>
      </c>
      <c r="B214" s="4" t="s">
        <v>242</v>
      </c>
      <c r="C214" s="4" t="s">
        <v>236</v>
      </c>
      <c r="D214" s="4" t="s">
        <v>177</v>
      </c>
      <c r="E214" s="4" t="s">
        <v>178</v>
      </c>
      <c r="F214" s="6">
        <v>39.04</v>
      </c>
      <c r="G214" s="6">
        <v>0</v>
      </c>
      <c r="H214" s="6">
        <f t="shared" si="12"/>
        <v>54.655999999999999</v>
      </c>
      <c r="I214" s="6">
        <f t="shared" si="13"/>
        <v>54.655999999999999</v>
      </c>
      <c r="J214" t="s">
        <v>1530</v>
      </c>
    </row>
    <row r="215" spans="1:10" x14ac:dyDescent="0.35">
      <c r="A215" t="s">
        <v>934</v>
      </c>
      <c r="B215" s="4" t="s">
        <v>243</v>
      </c>
      <c r="C215" s="4" t="s">
        <v>236</v>
      </c>
      <c r="D215" s="4" t="s">
        <v>177</v>
      </c>
      <c r="E215" s="4" t="s">
        <v>178</v>
      </c>
      <c r="F215" s="6">
        <v>31.72</v>
      </c>
      <c r="G215" s="6">
        <v>0</v>
      </c>
      <c r="H215" s="6">
        <f t="shared" si="12"/>
        <v>44.408000000000001</v>
      </c>
      <c r="I215" s="6">
        <f t="shared" si="13"/>
        <v>44.408000000000001</v>
      </c>
      <c r="J215" t="s">
        <v>1531</v>
      </c>
    </row>
    <row r="216" spans="1:10" x14ac:dyDescent="0.35">
      <c r="A216" t="s">
        <v>935</v>
      </c>
      <c r="B216" s="4" t="s">
        <v>244</v>
      </c>
      <c r="C216" s="4" t="s">
        <v>236</v>
      </c>
      <c r="D216" s="4" t="s">
        <v>177</v>
      </c>
      <c r="E216" s="4" t="s">
        <v>178</v>
      </c>
      <c r="F216" s="6">
        <v>30.5</v>
      </c>
      <c r="G216" s="6">
        <v>0</v>
      </c>
      <c r="H216" s="6">
        <f t="shared" si="12"/>
        <v>42.7</v>
      </c>
      <c r="I216" s="6">
        <f t="shared" si="13"/>
        <v>42.7</v>
      </c>
      <c r="J216" t="s">
        <v>1532</v>
      </c>
    </row>
    <row r="217" spans="1:10" x14ac:dyDescent="0.35">
      <c r="A217" t="s">
        <v>936</v>
      </c>
      <c r="B217" s="4" t="s">
        <v>1533</v>
      </c>
      <c r="C217" s="4" t="s">
        <v>245</v>
      </c>
      <c r="D217" s="4" t="s">
        <v>177</v>
      </c>
      <c r="E217" s="4" t="s">
        <v>178</v>
      </c>
      <c r="F217" s="6">
        <v>54.48</v>
      </c>
      <c r="G217" s="6">
        <v>0</v>
      </c>
      <c r="H217" s="6">
        <f t="shared" si="12"/>
        <v>76.271999999999991</v>
      </c>
      <c r="I217" s="6">
        <f t="shared" si="13"/>
        <v>76.271999999999991</v>
      </c>
      <c r="J217" t="s">
        <v>1534</v>
      </c>
    </row>
    <row r="218" spans="1:10" x14ac:dyDescent="0.35">
      <c r="A218" t="s">
        <v>937</v>
      </c>
      <c r="B218" s="4" t="s">
        <v>246</v>
      </c>
      <c r="C218" s="4" t="s">
        <v>245</v>
      </c>
      <c r="D218" s="4" t="s">
        <v>177</v>
      </c>
      <c r="E218" s="4" t="s">
        <v>178</v>
      </c>
      <c r="F218" s="6">
        <v>54.48</v>
      </c>
      <c r="G218" s="6">
        <v>0</v>
      </c>
      <c r="H218" s="6">
        <f t="shared" si="12"/>
        <v>76.271999999999991</v>
      </c>
      <c r="I218" s="6">
        <f t="shared" si="13"/>
        <v>76.271999999999991</v>
      </c>
      <c r="J218" t="s">
        <v>1535</v>
      </c>
    </row>
    <row r="219" spans="1:10" x14ac:dyDescent="0.35">
      <c r="A219" t="s">
        <v>938</v>
      </c>
      <c r="B219" s="4" t="s">
        <v>247</v>
      </c>
      <c r="C219" s="4" t="s">
        <v>245</v>
      </c>
      <c r="D219" s="4" t="s">
        <v>177</v>
      </c>
      <c r="E219" s="4" t="s">
        <v>178</v>
      </c>
      <c r="F219" s="6">
        <v>54.48</v>
      </c>
      <c r="G219" s="6">
        <v>0</v>
      </c>
      <c r="H219" s="6">
        <f t="shared" si="12"/>
        <v>76.271999999999991</v>
      </c>
      <c r="I219" s="6">
        <f t="shared" si="13"/>
        <v>76.271999999999991</v>
      </c>
      <c r="J219" t="s">
        <v>1536</v>
      </c>
    </row>
    <row r="220" spans="1:10" x14ac:dyDescent="0.35">
      <c r="A220" t="s">
        <v>939</v>
      </c>
      <c r="B220" s="4" t="s">
        <v>248</v>
      </c>
      <c r="C220" s="4" t="s">
        <v>245</v>
      </c>
      <c r="D220" s="4" t="s">
        <v>177</v>
      </c>
      <c r="E220" s="4" t="s">
        <v>178</v>
      </c>
      <c r="F220" s="6">
        <v>54.48</v>
      </c>
      <c r="G220" s="6">
        <v>0</v>
      </c>
      <c r="H220" s="6">
        <f t="shared" si="12"/>
        <v>76.271999999999991</v>
      </c>
      <c r="I220" s="6">
        <f t="shared" si="13"/>
        <v>76.271999999999991</v>
      </c>
      <c r="J220" t="s">
        <v>1537</v>
      </c>
    </row>
    <row r="221" spans="1:10" x14ac:dyDescent="0.35">
      <c r="A221" t="s">
        <v>940</v>
      </c>
      <c r="B221" s="4" t="s">
        <v>249</v>
      </c>
      <c r="C221" s="4" t="s">
        <v>245</v>
      </c>
      <c r="D221" s="4" t="s">
        <v>177</v>
      </c>
      <c r="E221" s="4" t="s">
        <v>178</v>
      </c>
      <c r="F221" s="6">
        <v>54.48</v>
      </c>
      <c r="G221" s="6">
        <v>0</v>
      </c>
      <c r="H221" s="6">
        <f t="shared" si="12"/>
        <v>76.271999999999991</v>
      </c>
      <c r="I221" s="6">
        <f t="shared" si="13"/>
        <v>76.271999999999991</v>
      </c>
      <c r="J221" t="s">
        <v>1538</v>
      </c>
    </row>
    <row r="222" spans="1:10" x14ac:dyDescent="0.35">
      <c r="A222" t="s">
        <v>941</v>
      </c>
      <c r="B222" s="4" t="s">
        <v>250</v>
      </c>
      <c r="C222" s="4" t="s">
        <v>245</v>
      </c>
      <c r="D222" s="4" t="s">
        <v>177</v>
      </c>
      <c r="E222" s="4" t="s">
        <v>178</v>
      </c>
      <c r="F222" s="6">
        <v>54.48</v>
      </c>
      <c r="G222" s="6">
        <v>0</v>
      </c>
      <c r="H222" s="6">
        <f t="shared" si="12"/>
        <v>76.271999999999991</v>
      </c>
      <c r="I222" s="6">
        <f t="shared" si="13"/>
        <v>76.271999999999991</v>
      </c>
      <c r="J222" t="s">
        <v>1539</v>
      </c>
    </row>
    <row r="223" spans="1:10" x14ac:dyDescent="0.35">
      <c r="A223" t="s">
        <v>942</v>
      </c>
      <c r="B223" s="4" t="s">
        <v>251</v>
      </c>
      <c r="C223" s="4" t="s">
        <v>245</v>
      </c>
      <c r="D223" s="4" t="s">
        <v>177</v>
      </c>
      <c r="E223" s="4" t="s">
        <v>178</v>
      </c>
      <c r="F223" s="6">
        <v>58</v>
      </c>
      <c r="G223" s="6">
        <v>0</v>
      </c>
      <c r="H223" s="6">
        <f t="shared" si="12"/>
        <v>81.2</v>
      </c>
      <c r="I223" s="6">
        <f t="shared" si="13"/>
        <v>81.2</v>
      </c>
      <c r="J223" t="s">
        <v>1540</v>
      </c>
    </row>
    <row r="224" spans="1:10" x14ac:dyDescent="0.35">
      <c r="A224" t="s">
        <v>943</v>
      </c>
      <c r="B224" s="4" t="s">
        <v>252</v>
      </c>
      <c r="C224" s="4" t="s">
        <v>245</v>
      </c>
      <c r="D224" s="4" t="s">
        <v>177</v>
      </c>
      <c r="E224" s="4" t="s">
        <v>178</v>
      </c>
      <c r="F224" s="6">
        <v>58</v>
      </c>
      <c r="G224" s="6">
        <v>0</v>
      </c>
      <c r="H224" s="6">
        <f t="shared" si="12"/>
        <v>81.2</v>
      </c>
      <c r="I224" s="6">
        <f t="shared" si="13"/>
        <v>81.2</v>
      </c>
      <c r="J224" t="s">
        <v>1541</v>
      </c>
    </row>
    <row r="225" spans="1:10" x14ac:dyDescent="0.35">
      <c r="A225" t="s">
        <v>944</v>
      </c>
      <c r="B225" s="4" t="s">
        <v>253</v>
      </c>
      <c r="C225" s="4" t="s">
        <v>245</v>
      </c>
      <c r="D225" s="4" t="s">
        <v>177</v>
      </c>
      <c r="E225" s="4" t="s">
        <v>178</v>
      </c>
      <c r="F225" s="6">
        <v>42</v>
      </c>
      <c r="G225" s="6">
        <v>0</v>
      </c>
      <c r="H225" s="6">
        <f t="shared" si="12"/>
        <v>58.8</v>
      </c>
      <c r="I225" s="6">
        <f t="shared" si="13"/>
        <v>58.8</v>
      </c>
      <c r="J225" t="s">
        <v>1542</v>
      </c>
    </row>
    <row r="226" spans="1:10" x14ac:dyDescent="0.35">
      <c r="A226" t="s">
        <v>945</v>
      </c>
      <c r="B226" s="4" t="s">
        <v>254</v>
      </c>
      <c r="C226" s="4" t="s">
        <v>245</v>
      </c>
      <c r="D226" s="4" t="s">
        <v>177</v>
      </c>
      <c r="E226" s="4" t="s">
        <v>178</v>
      </c>
      <c r="F226" s="6">
        <v>42</v>
      </c>
      <c r="G226" s="6">
        <v>0</v>
      </c>
      <c r="H226" s="6">
        <f t="shared" si="12"/>
        <v>58.8</v>
      </c>
      <c r="I226" s="6">
        <f t="shared" si="13"/>
        <v>58.8</v>
      </c>
      <c r="J226" t="s">
        <v>1543</v>
      </c>
    </row>
    <row r="227" spans="1:10" x14ac:dyDescent="0.35">
      <c r="A227" t="s">
        <v>946</v>
      </c>
      <c r="B227" s="4" t="s">
        <v>255</v>
      </c>
      <c r="C227" s="4" t="s">
        <v>245</v>
      </c>
      <c r="D227" s="4" t="s">
        <v>177</v>
      </c>
      <c r="E227" s="4" t="s">
        <v>178</v>
      </c>
      <c r="F227" s="6">
        <v>42</v>
      </c>
      <c r="G227" s="6">
        <v>0</v>
      </c>
      <c r="H227" s="6">
        <f t="shared" si="12"/>
        <v>58.8</v>
      </c>
      <c r="I227" s="6">
        <f t="shared" si="13"/>
        <v>58.8</v>
      </c>
      <c r="J227" t="s">
        <v>1544</v>
      </c>
    </row>
    <row r="228" spans="1:10" x14ac:dyDescent="0.35">
      <c r="A228" t="s">
        <v>947</v>
      </c>
      <c r="B228" s="4" t="s">
        <v>256</v>
      </c>
      <c r="C228" s="4" t="s">
        <v>245</v>
      </c>
      <c r="D228" s="4" t="s">
        <v>177</v>
      </c>
      <c r="E228" s="4" t="s">
        <v>178</v>
      </c>
      <c r="F228" s="6">
        <v>42</v>
      </c>
      <c r="G228" s="6">
        <v>0</v>
      </c>
      <c r="H228" s="6">
        <f t="shared" si="12"/>
        <v>58.8</v>
      </c>
      <c r="I228" s="6">
        <f t="shared" si="13"/>
        <v>58.8</v>
      </c>
      <c r="J228" t="s">
        <v>1545</v>
      </c>
    </row>
    <row r="229" spans="1:10" x14ac:dyDescent="0.35">
      <c r="A229" t="s">
        <v>948</v>
      </c>
      <c r="B229" s="4" t="s">
        <v>257</v>
      </c>
      <c r="C229" s="4" t="s">
        <v>245</v>
      </c>
      <c r="D229" s="4" t="s">
        <v>177</v>
      </c>
      <c r="E229" s="4" t="s">
        <v>178</v>
      </c>
      <c r="F229" s="6">
        <v>42.2</v>
      </c>
      <c r="G229" s="6">
        <v>0</v>
      </c>
      <c r="H229" s="6">
        <f t="shared" si="12"/>
        <v>59.080000000000005</v>
      </c>
      <c r="I229" s="6">
        <f t="shared" si="13"/>
        <v>59.080000000000005</v>
      </c>
      <c r="J229" t="s">
        <v>1546</v>
      </c>
    </row>
    <row r="230" spans="1:10" x14ac:dyDescent="0.35">
      <c r="A230" t="s">
        <v>949</v>
      </c>
      <c r="B230" s="4" t="s">
        <v>258</v>
      </c>
      <c r="C230" s="4" t="s">
        <v>259</v>
      </c>
      <c r="D230" s="4" t="s">
        <v>177</v>
      </c>
      <c r="E230" s="4" t="s">
        <v>195</v>
      </c>
      <c r="F230" s="6">
        <v>46.3</v>
      </c>
      <c r="G230" s="6">
        <v>0</v>
      </c>
      <c r="H230" s="6">
        <f t="shared" si="12"/>
        <v>64.819999999999993</v>
      </c>
      <c r="I230" s="6">
        <f t="shared" si="13"/>
        <v>64.819999999999993</v>
      </c>
      <c r="J230" t="s">
        <v>1547</v>
      </c>
    </row>
    <row r="231" spans="1:10" x14ac:dyDescent="0.35">
      <c r="A231" t="s">
        <v>950</v>
      </c>
      <c r="B231" s="4" t="s">
        <v>260</v>
      </c>
      <c r="C231" s="4" t="s">
        <v>259</v>
      </c>
      <c r="D231" s="4" t="s">
        <v>177</v>
      </c>
      <c r="E231" s="4" t="s">
        <v>195</v>
      </c>
      <c r="F231" s="6">
        <v>46.3</v>
      </c>
      <c r="G231" s="6">
        <v>0</v>
      </c>
      <c r="H231" s="6">
        <f t="shared" si="12"/>
        <v>64.819999999999993</v>
      </c>
      <c r="I231" s="6">
        <f t="shared" si="13"/>
        <v>64.819999999999993</v>
      </c>
      <c r="J231" t="s">
        <v>1548</v>
      </c>
    </row>
    <row r="232" spans="1:10" x14ac:dyDescent="0.35">
      <c r="A232" t="s">
        <v>951</v>
      </c>
      <c r="B232" s="4" t="s">
        <v>261</v>
      </c>
      <c r="C232" s="4" t="s">
        <v>259</v>
      </c>
      <c r="D232" s="4" t="s">
        <v>177</v>
      </c>
      <c r="E232" s="4" t="s">
        <v>195</v>
      </c>
      <c r="F232" s="6">
        <v>46.3</v>
      </c>
      <c r="G232" s="6">
        <v>0</v>
      </c>
      <c r="H232" s="6">
        <f t="shared" si="12"/>
        <v>64.819999999999993</v>
      </c>
      <c r="I232" s="6">
        <f t="shared" si="13"/>
        <v>64.819999999999993</v>
      </c>
      <c r="J232" t="s">
        <v>1549</v>
      </c>
    </row>
    <row r="233" spans="1:10" x14ac:dyDescent="0.35">
      <c r="A233" t="s">
        <v>952</v>
      </c>
      <c r="B233" s="4" t="s">
        <v>262</v>
      </c>
      <c r="C233" s="4" t="s">
        <v>259</v>
      </c>
      <c r="D233" s="4" t="s">
        <v>177</v>
      </c>
      <c r="E233" s="4" t="s">
        <v>195</v>
      </c>
      <c r="F233" s="6">
        <v>46.3</v>
      </c>
      <c r="G233" s="6">
        <v>0</v>
      </c>
      <c r="H233" s="6">
        <f t="shared" si="12"/>
        <v>64.819999999999993</v>
      </c>
      <c r="I233" s="6">
        <f t="shared" si="13"/>
        <v>64.819999999999993</v>
      </c>
      <c r="J233" t="s">
        <v>1550</v>
      </c>
    </row>
    <row r="234" spans="1:10" x14ac:dyDescent="0.35">
      <c r="A234" t="s">
        <v>953</v>
      </c>
      <c r="B234" s="4" t="s">
        <v>263</v>
      </c>
      <c r="C234" s="4" t="s">
        <v>259</v>
      </c>
      <c r="D234" s="4" t="s">
        <v>177</v>
      </c>
      <c r="E234" s="4" t="s">
        <v>195</v>
      </c>
      <c r="F234" s="6">
        <v>46.3</v>
      </c>
      <c r="G234" s="6">
        <v>0</v>
      </c>
      <c r="H234" s="6">
        <f t="shared" si="12"/>
        <v>64.819999999999993</v>
      </c>
      <c r="I234" s="6">
        <f t="shared" si="13"/>
        <v>64.819999999999993</v>
      </c>
      <c r="J234" t="s">
        <v>1551</v>
      </c>
    </row>
    <row r="235" spans="1:10" x14ac:dyDescent="0.35">
      <c r="A235" t="s">
        <v>954</v>
      </c>
      <c r="B235" s="4" t="s">
        <v>264</v>
      </c>
      <c r="C235" s="4" t="s">
        <v>259</v>
      </c>
      <c r="D235" s="4" t="s">
        <v>177</v>
      </c>
      <c r="E235" s="4" t="s">
        <v>195</v>
      </c>
      <c r="F235" s="6">
        <v>46.3</v>
      </c>
      <c r="G235" s="6">
        <v>0</v>
      </c>
      <c r="H235" s="6">
        <f t="shared" si="12"/>
        <v>64.819999999999993</v>
      </c>
      <c r="I235" s="6">
        <f t="shared" si="13"/>
        <v>64.819999999999993</v>
      </c>
      <c r="J235" t="s">
        <v>1552</v>
      </c>
    </row>
    <row r="236" spans="1:10" x14ac:dyDescent="0.35">
      <c r="A236" t="s">
        <v>955</v>
      </c>
      <c r="B236" s="4" t="s">
        <v>265</v>
      </c>
      <c r="C236" s="4" t="s">
        <v>259</v>
      </c>
      <c r="D236" s="4" t="s">
        <v>177</v>
      </c>
      <c r="E236" s="4" t="s">
        <v>195</v>
      </c>
      <c r="F236" s="6">
        <v>46.3</v>
      </c>
      <c r="G236" s="6">
        <v>0</v>
      </c>
      <c r="H236" s="6">
        <f t="shared" si="12"/>
        <v>64.819999999999993</v>
      </c>
      <c r="I236" s="6">
        <f t="shared" si="13"/>
        <v>64.819999999999993</v>
      </c>
      <c r="J236" t="s">
        <v>1553</v>
      </c>
    </row>
    <row r="237" spans="1:10" x14ac:dyDescent="0.35">
      <c r="A237" t="s">
        <v>956</v>
      </c>
      <c r="B237" s="4" t="s">
        <v>266</v>
      </c>
      <c r="C237" s="4" t="s">
        <v>259</v>
      </c>
      <c r="D237" s="4" t="s">
        <v>177</v>
      </c>
      <c r="E237" s="4" t="s">
        <v>195</v>
      </c>
      <c r="F237" s="6">
        <v>46.3</v>
      </c>
      <c r="G237" s="6">
        <v>0</v>
      </c>
      <c r="H237" s="6">
        <f t="shared" si="12"/>
        <v>64.819999999999993</v>
      </c>
      <c r="I237" s="6">
        <f t="shared" si="13"/>
        <v>64.819999999999993</v>
      </c>
      <c r="J237" t="s">
        <v>1554</v>
      </c>
    </row>
    <row r="238" spans="1:10" x14ac:dyDescent="0.35">
      <c r="A238" t="s">
        <v>957</v>
      </c>
      <c r="B238" s="4" t="s">
        <v>267</v>
      </c>
      <c r="C238" s="4" t="s">
        <v>268</v>
      </c>
      <c r="D238" s="4" t="s">
        <v>177</v>
      </c>
      <c r="E238" s="4" t="s">
        <v>195</v>
      </c>
      <c r="F238" s="6">
        <v>42.9</v>
      </c>
      <c r="G238" s="6">
        <v>0</v>
      </c>
      <c r="H238" s="6">
        <f t="shared" si="12"/>
        <v>60.06</v>
      </c>
      <c r="I238" s="6">
        <f t="shared" si="13"/>
        <v>60.06</v>
      </c>
      <c r="J238" t="s">
        <v>1555</v>
      </c>
    </row>
    <row r="239" spans="1:10" x14ac:dyDescent="0.35">
      <c r="A239" t="s">
        <v>958</v>
      </c>
      <c r="B239" s="4" t="s">
        <v>1558</v>
      </c>
      <c r="C239" s="4" t="s">
        <v>269</v>
      </c>
      <c r="D239" s="4" t="s">
        <v>177</v>
      </c>
      <c r="E239" s="4" t="s">
        <v>195</v>
      </c>
      <c r="F239" s="6">
        <v>35.409999999999997</v>
      </c>
      <c r="G239" s="6">
        <v>0</v>
      </c>
      <c r="H239" s="6">
        <f t="shared" si="12"/>
        <v>49.573999999999998</v>
      </c>
      <c r="I239" s="6">
        <f t="shared" si="13"/>
        <v>49.573999999999998</v>
      </c>
      <c r="J239" t="s">
        <v>1556</v>
      </c>
    </row>
    <row r="240" spans="1:10" x14ac:dyDescent="0.35">
      <c r="A240" t="s">
        <v>959</v>
      </c>
      <c r="B240" s="4" t="s">
        <v>1560</v>
      </c>
      <c r="C240" s="4" t="s">
        <v>270</v>
      </c>
      <c r="D240" s="4" t="s">
        <v>177</v>
      </c>
      <c r="E240" s="4" t="s">
        <v>195</v>
      </c>
      <c r="F240" s="6">
        <v>51.83</v>
      </c>
      <c r="G240" s="6">
        <v>0</v>
      </c>
      <c r="H240" s="6">
        <f t="shared" si="12"/>
        <v>72.561999999999998</v>
      </c>
      <c r="I240" s="6">
        <f t="shared" si="13"/>
        <v>72.561999999999998</v>
      </c>
      <c r="J240" t="s">
        <v>1557</v>
      </c>
    </row>
    <row r="241" spans="1:10" x14ac:dyDescent="0.35">
      <c r="A241" t="s">
        <v>960</v>
      </c>
      <c r="B241" s="4" t="s">
        <v>1561</v>
      </c>
      <c r="C241" s="4" t="s">
        <v>270</v>
      </c>
      <c r="D241" s="4" t="s">
        <v>177</v>
      </c>
      <c r="E241" s="4" t="s">
        <v>195</v>
      </c>
      <c r="F241" s="6">
        <v>49.96</v>
      </c>
      <c r="G241" s="6">
        <v>0</v>
      </c>
      <c r="H241" s="6">
        <f t="shared" si="12"/>
        <v>69.944000000000003</v>
      </c>
      <c r="I241" s="6">
        <f t="shared" si="13"/>
        <v>69.944000000000003</v>
      </c>
      <c r="J241" t="s">
        <v>1559</v>
      </c>
    </row>
    <row r="242" spans="1:10" x14ac:dyDescent="0.35">
      <c r="A242" t="s">
        <v>961</v>
      </c>
      <c r="B242" s="4" t="s">
        <v>271</v>
      </c>
      <c r="C242" s="4" t="s">
        <v>270</v>
      </c>
      <c r="D242" s="4" t="s">
        <v>177</v>
      </c>
      <c r="E242" s="4" t="s">
        <v>195</v>
      </c>
      <c r="F242" s="6">
        <v>37.24</v>
      </c>
      <c r="G242" s="6">
        <v>0</v>
      </c>
      <c r="H242" s="6">
        <f t="shared" si="12"/>
        <v>52.136000000000003</v>
      </c>
      <c r="I242" s="6">
        <f t="shared" si="13"/>
        <v>52.136000000000003</v>
      </c>
      <c r="J242" t="s">
        <v>1562</v>
      </c>
    </row>
    <row r="243" spans="1:10" x14ac:dyDescent="0.35">
      <c r="A243" t="s">
        <v>962</v>
      </c>
      <c r="B243" s="4" t="s">
        <v>272</v>
      </c>
      <c r="C243" s="4" t="s">
        <v>270</v>
      </c>
      <c r="D243" s="4" t="s">
        <v>177</v>
      </c>
      <c r="E243" s="4" t="s">
        <v>195</v>
      </c>
      <c r="F243" s="6">
        <v>0</v>
      </c>
      <c r="G243" s="6">
        <v>0</v>
      </c>
      <c r="H243" s="6">
        <f t="shared" si="12"/>
        <v>0</v>
      </c>
      <c r="I243" s="6">
        <f t="shared" si="13"/>
        <v>0</v>
      </c>
      <c r="J243" t="s">
        <v>1563</v>
      </c>
    </row>
    <row r="244" spans="1:10" x14ac:dyDescent="0.35">
      <c r="A244" t="s">
        <v>963</v>
      </c>
      <c r="B244" s="4" t="s">
        <v>273</v>
      </c>
      <c r="C244" s="4" t="s">
        <v>270</v>
      </c>
      <c r="D244" s="4" t="s">
        <v>177</v>
      </c>
      <c r="E244" s="4" t="s">
        <v>195</v>
      </c>
      <c r="F244" s="6">
        <v>0</v>
      </c>
      <c r="G244" s="6">
        <v>0</v>
      </c>
      <c r="H244" s="6">
        <f t="shared" si="12"/>
        <v>0</v>
      </c>
      <c r="I244" s="6">
        <f t="shared" si="13"/>
        <v>0</v>
      </c>
      <c r="J244" t="s">
        <v>1567</v>
      </c>
    </row>
    <row r="245" spans="1:10" x14ac:dyDescent="0.35">
      <c r="A245" t="s">
        <v>964</v>
      </c>
      <c r="B245" s="4" t="s">
        <v>1569</v>
      </c>
      <c r="C245" s="4" t="s">
        <v>274</v>
      </c>
      <c r="D245" s="4" t="s">
        <v>177</v>
      </c>
      <c r="E245" s="4" t="s">
        <v>195</v>
      </c>
      <c r="F245" s="6">
        <v>9.0500000000000007</v>
      </c>
      <c r="G245" s="6">
        <v>0</v>
      </c>
      <c r="H245" s="6">
        <f>(F245*0.4)+F245</f>
        <v>12.670000000000002</v>
      </c>
      <c r="I245" s="6">
        <f>((F245+G245)*0.4)+(F245+G245)</f>
        <v>12.670000000000002</v>
      </c>
      <c r="J245" t="s">
        <v>1566</v>
      </c>
    </row>
    <row r="246" spans="1:10" x14ac:dyDescent="0.35">
      <c r="A246" t="s">
        <v>965</v>
      </c>
      <c r="B246" s="4" t="s">
        <v>275</v>
      </c>
      <c r="C246" s="4" t="s">
        <v>274</v>
      </c>
      <c r="D246" s="4" t="s">
        <v>177</v>
      </c>
      <c r="E246" s="4" t="s">
        <v>195</v>
      </c>
      <c r="F246" s="6">
        <v>69.72</v>
      </c>
      <c r="G246" s="6">
        <v>0</v>
      </c>
      <c r="H246" s="6">
        <f>(F246*0.4)+F246</f>
        <v>97.608000000000004</v>
      </c>
      <c r="I246" s="6">
        <f>((F246+G246)*0.4)+(F246+G246)</f>
        <v>97.608000000000004</v>
      </c>
      <c r="J246" t="s">
        <v>1570</v>
      </c>
    </row>
    <row r="247" spans="1:10" x14ac:dyDescent="0.35">
      <c r="A247" t="s">
        <v>966</v>
      </c>
      <c r="B247" s="4" t="s">
        <v>1568</v>
      </c>
      <c r="C247" s="4" t="s">
        <v>274</v>
      </c>
      <c r="D247" s="4" t="s">
        <v>177</v>
      </c>
      <c r="E247" s="4" t="s">
        <v>195</v>
      </c>
      <c r="F247" s="6">
        <v>0</v>
      </c>
      <c r="G247" s="6">
        <v>0</v>
      </c>
      <c r="H247" s="6">
        <f t="shared" ref="H247" si="14">(F247*0.4)+F247</f>
        <v>0</v>
      </c>
      <c r="I247" s="6">
        <f t="shared" ref="I247" si="15">((F247+G247)*0.4)+(F247+G247)</f>
        <v>0</v>
      </c>
      <c r="J247" t="s">
        <v>1564</v>
      </c>
    </row>
    <row r="248" spans="1:10" x14ac:dyDescent="0.35">
      <c r="A248" t="s">
        <v>967</v>
      </c>
      <c r="B248" s="4" t="s">
        <v>276</v>
      </c>
      <c r="C248" s="4" t="s">
        <v>277</v>
      </c>
      <c r="D248" s="4" t="s">
        <v>177</v>
      </c>
      <c r="E248" s="4" t="s">
        <v>278</v>
      </c>
      <c r="F248" s="6">
        <v>20</v>
      </c>
      <c r="G248" s="6">
        <v>0</v>
      </c>
      <c r="H248" s="6">
        <f>(F248*0.4)+F248</f>
        <v>28</v>
      </c>
      <c r="I248" s="6">
        <f>((F248+G248)*0.4)+(F248+G248)</f>
        <v>28</v>
      </c>
      <c r="J248" t="s">
        <v>1571</v>
      </c>
    </row>
    <row r="249" spans="1:10" x14ac:dyDescent="0.35">
      <c r="A249" t="s">
        <v>968</v>
      </c>
      <c r="B249" s="4" t="s">
        <v>1572</v>
      </c>
      <c r="C249" s="4" t="s">
        <v>279</v>
      </c>
      <c r="D249" s="4" t="s">
        <v>177</v>
      </c>
      <c r="E249" s="4" t="s">
        <v>278</v>
      </c>
      <c r="F249" s="6">
        <v>0</v>
      </c>
      <c r="G249" s="6">
        <v>0</v>
      </c>
      <c r="H249" s="6">
        <f t="shared" ref="H249:H311" si="16">(F249*0.4)+F249</f>
        <v>0</v>
      </c>
      <c r="I249" s="6">
        <f t="shared" ref="I249:I311" si="17">((F249+G249)*0.4)+(F249+G249)</f>
        <v>0</v>
      </c>
      <c r="J249" t="s">
        <v>1565</v>
      </c>
    </row>
    <row r="250" spans="1:10" x14ac:dyDescent="0.35">
      <c r="A250" t="s">
        <v>969</v>
      </c>
      <c r="B250" s="4" t="s">
        <v>280</v>
      </c>
      <c r="C250" s="4" t="s">
        <v>279</v>
      </c>
      <c r="D250" s="4" t="s">
        <v>177</v>
      </c>
      <c r="E250" s="4" t="s">
        <v>278</v>
      </c>
      <c r="F250" s="6">
        <v>0</v>
      </c>
      <c r="G250" s="6">
        <v>0</v>
      </c>
      <c r="H250" s="6">
        <f t="shared" si="16"/>
        <v>0</v>
      </c>
      <c r="I250" s="6">
        <f t="shared" si="17"/>
        <v>0</v>
      </c>
      <c r="J250" t="s">
        <v>1573</v>
      </c>
    </row>
    <row r="251" spans="1:10" x14ac:dyDescent="0.35">
      <c r="A251" t="s">
        <v>970</v>
      </c>
      <c r="B251" s="4" t="s">
        <v>281</v>
      </c>
      <c r="C251" s="4" t="s">
        <v>279</v>
      </c>
      <c r="D251" s="4" t="s">
        <v>177</v>
      </c>
      <c r="E251" s="4" t="s">
        <v>278</v>
      </c>
      <c r="F251" s="6">
        <v>0</v>
      </c>
      <c r="G251" s="6">
        <v>0</v>
      </c>
      <c r="H251" s="6">
        <f t="shared" si="16"/>
        <v>0</v>
      </c>
      <c r="I251" s="6">
        <f t="shared" si="17"/>
        <v>0</v>
      </c>
      <c r="J251" t="s">
        <v>1574</v>
      </c>
    </row>
    <row r="252" spans="1:10" x14ac:dyDescent="0.35">
      <c r="A252" t="s">
        <v>971</v>
      </c>
      <c r="B252" s="4" t="s">
        <v>282</v>
      </c>
      <c r="C252" s="4" t="s">
        <v>279</v>
      </c>
      <c r="D252" s="4" t="s">
        <v>177</v>
      </c>
      <c r="E252" s="4" t="s">
        <v>278</v>
      </c>
      <c r="F252" s="6">
        <v>0</v>
      </c>
      <c r="G252" s="6">
        <v>0</v>
      </c>
      <c r="H252" s="6">
        <f t="shared" si="16"/>
        <v>0</v>
      </c>
      <c r="I252" s="6">
        <f t="shared" si="17"/>
        <v>0</v>
      </c>
      <c r="J252" t="s">
        <v>1575</v>
      </c>
    </row>
    <row r="253" spans="1:10" x14ac:dyDescent="0.35">
      <c r="A253" t="s">
        <v>972</v>
      </c>
      <c r="B253" s="4" t="s">
        <v>283</v>
      </c>
      <c r="C253" s="4" t="s">
        <v>284</v>
      </c>
      <c r="D253" s="4" t="s">
        <v>177</v>
      </c>
      <c r="E253" s="4" t="s">
        <v>278</v>
      </c>
      <c r="F253" s="6">
        <v>69.38</v>
      </c>
      <c r="G253" s="6">
        <v>0</v>
      </c>
      <c r="H253" s="6">
        <f t="shared" si="16"/>
        <v>97.131999999999991</v>
      </c>
      <c r="I253" s="6">
        <f t="shared" si="17"/>
        <v>97.131999999999991</v>
      </c>
      <c r="J253" t="s">
        <v>1576</v>
      </c>
    </row>
    <row r="254" spans="1:10" x14ac:dyDescent="0.35">
      <c r="A254" t="s">
        <v>973</v>
      </c>
      <c r="B254" s="4" t="s">
        <v>285</v>
      </c>
      <c r="C254" s="4" t="s">
        <v>284</v>
      </c>
      <c r="D254" s="4" t="s">
        <v>177</v>
      </c>
      <c r="E254" s="4" t="s">
        <v>199</v>
      </c>
      <c r="F254" s="6">
        <v>36.47</v>
      </c>
      <c r="G254" s="6">
        <v>0</v>
      </c>
      <c r="H254" s="6">
        <f t="shared" si="16"/>
        <v>51.058</v>
      </c>
      <c r="I254" s="6">
        <f t="shared" si="17"/>
        <v>51.058</v>
      </c>
      <c r="J254" t="s">
        <v>1577</v>
      </c>
    </row>
    <row r="255" spans="1:10" x14ac:dyDescent="0.35">
      <c r="A255" t="s">
        <v>974</v>
      </c>
      <c r="B255" s="4" t="s">
        <v>286</v>
      </c>
      <c r="C255" s="4" t="s">
        <v>287</v>
      </c>
      <c r="D255" s="4" t="s">
        <v>288</v>
      </c>
      <c r="E255" s="4" t="s">
        <v>289</v>
      </c>
      <c r="F255" s="6">
        <v>37.130000000000003</v>
      </c>
      <c r="G255" s="6">
        <v>0</v>
      </c>
      <c r="H255" s="6">
        <f t="shared" si="16"/>
        <v>51.982000000000006</v>
      </c>
      <c r="I255" s="6">
        <f t="shared" si="17"/>
        <v>51.982000000000006</v>
      </c>
      <c r="J255" t="s">
        <v>1578</v>
      </c>
    </row>
    <row r="256" spans="1:10" x14ac:dyDescent="0.35">
      <c r="A256" t="s">
        <v>975</v>
      </c>
      <c r="B256" s="4" t="s">
        <v>290</v>
      </c>
      <c r="C256" s="4" t="s">
        <v>291</v>
      </c>
      <c r="D256" s="4" t="s">
        <v>288</v>
      </c>
      <c r="E256" s="4" t="s">
        <v>289</v>
      </c>
      <c r="F256" s="6">
        <v>45.55</v>
      </c>
      <c r="G256" s="6">
        <v>0</v>
      </c>
      <c r="H256" s="6">
        <f t="shared" si="16"/>
        <v>63.769999999999996</v>
      </c>
      <c r="I256" s="6">
        <f t="shared" si="17"/>
        <v>63.769999999999996</v>
      </c>
      <c r="J256" t="s">
        <v>1579</v>
      </c>
    </row>
    <row r="257" spans="1:10" x14ac:dyDescent="0.35">
      <c r="A257" t="s">
        <v>976</v>
      </c>
      <c r="B257" s="4" t="s">
        <v>292</v>
      </c>
      <c r="C257" s="4" t="s">
        <v>291</v>
      </c>
      <c r="D257" s="4" t="s">
        <v>288</v>
      </c>
      <c r="E257" s="4" t="s">
        <v>289</v>
      </c>
      <c r="F257" s="6">
        <v>44.79</v>
      </c>
      <c r="G257" s="6">
        <v>0</v>
      </c>
      <c r="H257" s="6">
        <f t="shared" si="16"/>
        <v>62.706000000000003</v>
      </c>
      <c r="I257" s="6">
        <f t="shared" si="17"/>
        <v>62.706000000000003</v>
      </c>
      <c r="J257" t="s">
        <v>1580</v>
      </c>
    </row>
    <row r="258" spans="1:10" x14ac:dyDescent="0.35">
      <c r="A258" t="s">
        <v>977</v>
      </c>
      <c r="B258" s="4" t="s">
        <v>293</v>
      </c>
      <c r="C258" s="4" t="s">
        <v>23</v>
      </c>
      <c r="D258" s="4" t="s">
        <v>288</v>
      </c>
      <c r="E258" s="4" t="s">
        <v>294</v>
      </c>
      <c r="F258" s="6">
        <v>37</v>
      </c>
      <c r="G258" s="6">
        <v>0</v>
      </c>
      <c r="H258" s="6">
        <f t="shared" si="16"/>
        <v>51.8</v>
      </c>
      <c r="I258" s="6">
        <f t="shared" si="17"/>
        <v>51.8</v>
      </c>
      <c r="J258" t="s">
        <v>1581</v>
      </c>
    </row>
    <row r="259" spans="1:10" x14ac:dyDescent="0.35">
      <c r="A259" t="s">
        <v>978</v>
      </c>
      <c r="B259" s="4" t="s">
        <v>295</v>
      </c>
      <c r="C259" s="4" t="s">
        <v>296</v>
      </c>
      <c r="D259" s="4" t="s">
        <v>288</v>
      </c>
      <c r="E259" s="4" t="s">
        <v>297</v>
      </c>
      <c r="F259" s="6">
        <v>31.19</v>
      </c>
      <c r="G259" s="6">
        <v>0</v>
      </c>
      <c r="H259" s="6">
        <f t="shared" si="16"/>
        <v>43.666000000000004</v>
      </c>
      <c r="I259" s="6">
        <f t="shared" si="17"/>
        <v>43.666000000000004</v>
      </c>
      <c r="J259" t="s">
        <v>1582</v>
      </c>
    </row>
    <row r="260" spans="1:10" x14ac:dyDescent="0.35">
      <c r="A260" t="s">
        <v>979</v>
      </c>
      <c r="B260" s="4" t="s">
        <v>298</v>
      </c>
      <c r="C260" s="4" t="s">
        <v>296</v>
      </c>
      <c r="D260" s="4" t="s">
        <v>288</v>
      </c>
      <c r="E260" s="4" t="s">
        <v>297</v>
      </c>
      <c r="F260" s="6">
        <v>49.5</v>
      </c>
      <c r="G260" s="6">
        <v>0</v>
      </c>
      <c r="H260" s="6">
        <f t="shared" si="16"/>
        <v>69.3</v>
      </c>
      <c r="I260" s="6">
        <f t="shared" si="17"/>
        <v>69.3</v>
      </c>
      <c r="J260" t="s">
        <v>1583</v>
      </c>
    </row>
    <row r="261" spans="1:10" x14ac:dyDescent="0.35">
      <c r="A261" t="s">
        <v>980</v>
      </c>
      <c r="B261" s="4" t="s">
        <v>299</v>
      </c>
      <c r="C261" s="4" t="s">
        <v>296</v>
      </c>
      <c r="D261" s="4" t="s">
        <v>288</v>
      </c>
      <c r="E261" s="4" t="s">
        <v>297</v>
      </c>
      <c r="F261" s="6">
        <v>0</v>
      </c>
      <c r="G261" s="6">
        <v>0</v>
      </c>
      <c r="H261" s="6">
        <f t="shared" si="16"/>
        <v>0</v>
      </c>
      <c r="I261" s="6">
        <f t="shared" si="17"/>
        <v>0</v>
      </c>
      <c r="J261" t="s">
        <v>1584</v>
      </c>
    </row>
    <row r="262" spans="1:10" x14ac:dyDescent="0.35">
      <c r="A262" t="s">
        <v>981</v>
      </c>
      <c r="B262" s="4" t="s">
        <v>300</v>
      </c>
      <c r="C262" s="4" t="s">
        <v>296</v>
      </c>
      <c r="D262" s="4" t="s">
        <v>288</v>
      </c>
      <c r="E262" s="4" t="s">
        <v>297</v>
      </c>
      <c r="F262" s="6">
        <v>0</v>
      </c>
      <c r="G262" s="6">
        <v>0</v>
      </c>
      <c r="H262" s="6">
        <f t="shared" si="16"/>
        <v>0</v>
      </c>
      <c r="I262" s="6">
        <f t="shared" si="17"/>
        <v>0</v>
      </c>
      <c r="J262" t="s">
        <v>1585</v>
      </c>
    </row>
    <row r="263" spans="1:10" x14ac:dyDescent="0.35">
      <c r="A263" t="s">
        <v>982</v>
      </c>
      <c r="B263" s="4" t="s">
        <v>301</v>
      </c>
      <c r="C263" s="4" t="s">
        <v>302</v>
      </c>
      <c r="D263" s="4" t="s">
        <v>288</v>
      </c>
      <c r="E263" s="4" t="s">
        <v>195</v>
      </c>
      <c r="F263" s="6">
        <v>55.2</v>
      </c>
      <c r="G263" s="6">
        <v>0</v>
      </c>
      <c r="H263" s="6">
        <f t="shared" si="16"/>
        <v>77.28</v>
      </c>
      <c r="I263" s="6">
        <f t="shared" si="17"/>
        <v>77.28</v>
      </c>
      <c r="J263" t="s">
        <v>1586</v>
      </c>
    </row>
    <row r="264" spans="1:10" x14ac:dyDescent="0.35">
      <c r="A264" t="s">
        <v>983</v>
      </c>
      <c r="B264" s="4" t="s">
        <v>303</v>
      </c>
      <c r="C264" s="4" t="s">
        <v>302</v>
      </c>
      <c r="D264" s="4" t="s">
        <v>288</v>
      </c>
      <c r="E264" s="4" t="s">
        <v>195</v>
      </c>
      <c r="F264" s="6">
        <v>57.6</v>
      </c>
      <c r="G264" s="6">
        <v>0</v>
      </c>
      <c r="H264" s="6">
        <f t="shared" si="16"/>
        <v>80.64</v>
      </c>
      <c r="I264" s="6">
        <f t="shared" si="17"/>
        <v>80.64</v>
      </c>
      <c r="J264" t="s">
        <v>1587</v>
      </c>
    </row>
    <row r="265" spans="1:10" x14ac:dyDescent="0.35">
      <c r="A265" t="s">
        <v>984</v>
      </c>
      <c r="B265" s="4" t="s">
        <v>304</v>
      </c>
      <c r="C265" s="4" t="s">
        <v>302</v>
      </c>
      <c r="D265" s="4" t="s">
        <v>288</v>
      </c>
      <c r="E265" s="4" t="s">
        <v>195</v>
      </c>
      <c r="F265" s="6">
        <v>51.3</v>
      </c>
      <c r="G265" s="6">
        <v>0</v>
      </c>
      <c r="H265" s="6">
        <f t="shared" si="16"/>
        <v>71.819999999999993</v>
      </c>
      <c r="I265" s="6">
        <f t="shared" si="17"/>
        <v>71.819999999999993</v>
      </c>
      <c r="J265" t="s">
        <v>1588</v>
      </c>
    </row>
    <row r="266" spans="1:10" x14ac:dyDescent="0.35">
      <c r="A266" t="s">
        <v>985</v>
      </c>
      <c r="B266" s="4" t="s">
        <v>305</v>
      </c>
      <c r="C266" s="4" t="s">
        <v>302</v>
      </c>
      <c r="D266" s="4" t="s">
        <v>288</v>
      </c>
      <c r="E266" s="4" t="s">
        <v>297</v>
      </c>
      <c r="F266" s="6">
        <v>25.8</v>
      </c>
      <c r="G266" s="6">
        <v>0</v>
      </c>
      <c r="H266" s="6">
        <f t="shared" si="16"/>
        <v>36.120000000000005</v>
      </c>
      <c r="I266" s="6">
        <f t="shared" si="17"/>
        <v>36.120000000000005</v>
      </c>
      <c r="J266" t="s">
        <v>1589</v>
      </c>
    </row>
    <row r="267" spans="1:10" x14ac:dyDescent="0.35">
      <c r="A267" t="s">
        <v>986</v>
      </c>
      <c r="B267" s="4" t="s">
        <v>306</v>
      </c>
      <c r="C267" s="4" t="s">
        <v>302</v>
      </c>
      <c r="D267" s="4" t="s">
        <v>288</v>
      </c>
      <c r="E267" s="4" t="s">
        <v>297</v>
      </c>
      <c r="F267" s="6">
        <v>43.2</v>
      </c>
      <c r="G267" s="6">
        <v>0</v>
      </c>
      <c r="H267" s="6">
        <f t="shared" si="16"/>
        <v>60.480000000000004</v>
      </c>
      <c r="I267" s="6">
        <f t="shared" si="17"/>
        <v>60.480000000000004</v>
      </c>
      <c r="J267" t="s">
        <v>1590</v>
      </c>
    </row>
    <row r="268" spans="1:10" x14ac:dyDescent="0.35">
      <c r="A268" t="s">
        <v>987</v>
      </c>
      <c r="B268" s="4" t="s">
        <v>307</v>
      </c>
      <c r="C268" s="4" t="s">
        <v>302</v>
      </c>
      <c r="D268" s="4" t="s">
        <v>288</v>
      </c>
      <c r="E268" s="4" t="s">
        <v>297</v>
      </c>
      <c r="F268" s="6">
        <v>61.8</v>
      </c>
      <c r="G268" s="6">
        <v>0</v>
      </c>
      <c r="H268" s="6">
        <f t="shared" si="16"/>
        <v>86.52</v>
      </c>
      <c r="I268" s="6">
        <f t="shared" si="17"/>
        <v>86.52</v>
      </c>
      <c r="J268" t="s">
        <v>1591</v>
      </c>
    </row>
    <row r="269" spans="1:10" x14ac:dyDescent="0.35">
      <c r="A269" t="s">
        <v>988</v>
      </c>
      <c r="B269" s="4" t="s">
        <v>308</v>
      </c>
      <c r="C269" s="4" t="s">
        <v>302</v>
      </c>
      <c r="D269" s="4" t="s">
        <v>288</v>
      </c>
      <c r="E269" s="4" t="s">
        <v>297</v>
      </c>
      <c r="F269" s="6">
        <v>64.319999999999993</v>
      </c>
      <c r="G269" s="6">
        <v>0</v>
      </c>
      <c r="H269" s="6">
        <f t="shared" si="16"/>
        <v>90.047999999999988</v>
      </c>
      <c r="I269" s="6">
        <f t="shared" si="17"/>
        <v>90.047999999999988</v>
      </c>
      <c r="J269" t="s">
        <v>1592</v>
      </c>
    </row>
    <row r="270" spans="1:10" x14ac:dyDescent="0.35">
      <c r="A270" t="s">
        <v>989</v>
      </c>
      <c r="B270" s="4" t="s">
        <v>309</v>
      </c>
      <c r="C270" s="4" t="s">
        <v>302</v>
      </c>
      <c r="D270" s="4" t="s">
        <v>288</v>
      </c>
      <c r="E270" s="4" t="s">
        <v>297</v>
      </c>
      <c r="F270" s="6">
        <v>24.8</v>
      </c>
      <c r="G270" s="6">
        <v>0</v>
      </c>
      <c r="H270" s="6">
        <f t="shared" si="16"/>
        <v>34.72</v>
      </c>
      <c r="I270" s="6">
        <f t="shared" si="17"/>
        <v>34.72</v>
      </c>
      <c r="J270" t="s">
        <v>1593</v>
      </c>
    </row>
    <row r="271" spans="1:10" x14ac:dyDescent="0.35">
      <c r="A271" t="s">
        <v>990</v>
      </c>
      <c r="B271" s="4" t="s">
        <v>310</v>
      </c>
      <c r="C271" s="4" t="s">
        <v>302</v>
      </c>
      <c r="D271" s="4" t="s">
        <v>288</v>
      </c>
      <c r="E271" s="4" t="s">
        <v>297</v>
      </c>
      <c r="F271" s="6">
        <v>69.12</v>
      </c>
      <c r="G271" s="6">
        <v>0</v>
      </c>
      <c r="H271" s="6">
        <f t="shared" si="16"/>
        <v>96.768000000000001</v>
      </c>
      <c r="I271" s="6">
        <f t="shared" si="17"/>
        <v>96.768000000000001</v>
      </c>
      <c r="J271" t="s">
        <v>1594</v>
      </c>
    </row>
    <row r="272" spans="1:10" x14ac:dyDescent="0.35">
      <c r="A272" t="s">
        <v>991</v>
      </c>
      <c r="B272" s="4" t="s">
        <v>311</v>
      </c>
      <c r="C272" s="4" t="s">
        <v>302</v>
      </c>
      <c r="D272" s="4" t="s">
        <v>288</v>
      </c>
      <c r="E272" s="4" t="s">
        <v>297</v>
      </c>
      <c r="F272" s="6">
        <v>30.6</v>
      </c>
      <c r="G272" s="6">
        <v>0</v>
      </c>
      <c r="H272" s="6">
        <f t="shared" si="16"/>
        <v>42.84</v>
      </c>
      <c r="I272" s="6">
        <f t="shared" si="17"/>
        <v>42.84</v>
      </c>
      <c r="J272" t="s">
        <v>1595</v>
      </c>
    </row>
    <row r="273" spans="1:10" x14ac:dyDescent="0.35">
      <c r="A273" t="s">
        <v>992</v>
      </c>
      <c r="B273" s="4" t="s">
        <v>312</v>
      </c>
      <c r="C273" s="4" t="s">
        <v>302</v>
      </c>
      <c r="D273" s="4" t="s">
        <v>288</v>
      </c>
      <c r="E273" s="4" t="s">
        <v>297</v>
      </c>
      <c r="F273" s="6">
        <v>30.36</v>
      </c>
      <c r="G273" s="6">
        <v>0</v>
      </c>
      <c r="H273" s="6">
        <f t="shared" si="16"/>
        <v>42.503999999999998</v>
      </c>
      <c r="I273" s="6">
        <f t="shared" si="17"/>
        <v>42.503999999999998</v>
      </c>
      <c r="J273" t="s">
        <v>1596</v>
      </c>
    </row>
    <row r="274" spans="1:10" x14ac:dyDescent="0.35">
      <c r="A274" t="s">
        <v>993</v>
      </c>
      <c r="B274" s="4" t="s">
        <v>313</v>
      </c>
      <c r="C274" s="4" t="s">
        <v>302</v>
      </c>
      <c r="D274" s="4" t="s">
        <v>288</v>
      </c>
      <c r="E274" s="4" t="s">
        <v>297</v>
      </c>
      <c r="F274" s="6">
        <v>23.2</v>
      </c>
      <c r="G274" s="6">
        <v>0</v>
      </c>
      <c r="H274" s="6">
        <f t="shared" si="16"/>
        <v>32.479999999999997</v>
      </c>
      <c r="I274" s="6">
        <f t="shared" si="17"/>
        <v>32.479999999999997</v>
      </c>
      <c r="J274" t="s">
        <v>1597</v>
      </c>
    </row>
    <row r="275" spans="1:10" x14ac:dyDescent="0.35">
      <c r="A275" t="s">
        <v>994</v>
      </c>
      <c r="B275" s="4" t="s">
        <v>314</v>
      </c>
      <c r="C275" s="4" t="s">
        <v>302</v>
      </c>
      <c r="D275" s="4" t="s">
        <v>288</v>
      </c>
      <c r="E275" s="4" t="s">
        <v>297</v>
      </c>
      <c r="F275" s="6">
        <v>28.8</v>
      </c>
      <c r="G275" s="6">
        <v>0</v>
      </c>
      <c r="H275" s="6">
        <f t="shared" si="16"/>
        <v>40.32</v>
      </c>
      <c r="I275" s="6">
        <f t="shared" si="17"/>
        <v>40.32</v>
      </c>
      <c r="J275" t="s">
        <v>1598</v>
      </c>
    </row>
    <row r="276" spans="1:10" x14ac:dyDescent="0.35">
      <c r="A276" t="s">
        <v>995</v>
      </c>
      <c r="B276" s="4" t="s">
        <v>315</v>
      </c>
      <c r="C276" s="4" t="s">
        <v>83</v>
      </c>
      <c r="D276" s="4" t="s">
        <v>288</v>
      </c>
      <c r="E276" s="4" t="s">
        <v>297</v>
      </c>
      <c r="F276" s="6">
        <v>24.6</v>
      </c>
      <c r="G276" s="6">
        <v>0</v>
      </c>
      <c r="H276" s="6">
        <f t="shared" si="16"/>
        <v>34.440000000000005</v>
      </c>
      <c r="I276" s="6">
        <f t="shared" si="17"/>
        <v>34.440000000000005</v>
      </c>
      <c r="J276" t="s">
        <v>1599</v>
      </c>
    </row>
    <row r="277" spans="1:10" x14ac:dyDescent="0.35">
      <c r="A277" t="s">
        <v>996</v>
      </c>
      <c r="B277" s="4" t="s">
        <v>316</v>
      </c>
      <c r="C277" s="4" t="s">
        <v>83</v>
      </c>
      <c r="D277" s="4" t="s">
        <v>288</v>
      </c>
      <c r="E277" s="4" t="s">
        <v>297</v>
      </c>
      <c r="F277" s="6">
        <v>21.6</v>
      </c>
      <c r="G277" s="6">
        <v>0</v>
      </c>
      <c r="H277" s="6">
        <f t="shared" si="16"/>
        <v>30.240000000000002</v>
      </c>
      <c r="I277" s="6">
        <f t="shared" si="17"/>
        <v>30.240000000000002</v>
      </c>
      <c r="J277" t="s">
        <v>1600</v>
      </c>
    </row>
    <row r="278" spans="1:10" x14ac:dyDescent="0.35">
      <c r="A278" t="s">
        <v>997</v>
      </c>
      <c r="B278" s="4" t="s">
        <v>317</v>
      </c>
      <c r="C278" s="4" t="s">
        <v>83</v>
      </c>
      <c r="D278" s="4" t="s">
        <v>288</v>
      </c>
      <c r="E278" s="4" t="s">
        <v>297</v>
      </c>
      <c r="F278" s="6">
        <v>40.700000000000003</v>
      </c>
      <c r="G278" s="6">
        <v>0</v>
      </c>
      <c r="H278" s="6">
        <f t="shared" si="16"/>
        <v>56.980000000000004</v>
      </c>
      <c r="I278" s="6">
        <f t="shared" si="17"/>
        <v>56.980000000000004</v>
      </c>
      <c r="J278" t="s">
        <v>1601</v>
      </c>
    </row>
    <row r="279" spans="1:10" x14ac:dyDescent="0.35">
      <c r="A279" t="s">
        <v>998</v>
      </c>
      <c r="B279" s="4" t="s">
        <v>318</v>
      </c>
      <c r="C279" s="4" t="s">
        <v>83</v>
      </c>
      <c r="D279" s="4" t="s">
        <v>288</v>
      </c>
      <c r="E279" s="4" t="s">
        <v>297</v>
      </c>
      <c r="F279" s="6">
        <v>40.4</v>
      </c>
      <c r="G279" s="6">
        <v>0</v>
      </c>
      <c r="H279" s="6">
        <f t="shared" si="16"/>
        <v>56.56</v>
      </c>
      <c r="I279" s="6">
        <f t="shared" si="17"/>
        <v>56.56</v>
      </c>
      <c r="J279" t="s">
        <v>1602</v>
      </c>
    </row>
    <row r="280" spans="1:10" x14ac:dyDescent="0.35">
      <c r="A280" t="s">
        <v>999</v>
      </c>
      <c r="B280" s="4" t="s">
        <v>319</v>
      </c>
      <c r="C280" s="4" t="s">
        <v>83</v>
      </c>
      <c r="D280" s="4" t="s">
        <v>288</v>
      </c>
      <c r="E280" s="4" t="s">
        <v>297</v>
      </c>
      <c r="F280" s="6">
        <v>25.76</v>
      </c>
      <c r="G280" s="6">
        <v>0</v>
      </c>
      <c r="H280" s="6">
        <f t="shared" si="16"/>
        <v>36.064000000000007</v>
      </c>
      <c r="I280" s="6">
        <f t="shared" si="17"/>
        <v>36.064000000000007</v>
      </c>
      <c r="J280" t="s">
        <v>1603</v>
      </c>
    </row>
    <row r="281" spans="1:10" x14ac:dyDescent="0.35">
      <c r="A281" t="s">
        <v>1000</v>
      </c>
      <c r="B281" s="4" t="s">
        <v>320</v>
      </c>
      <c r="C281" s="4" t="s">
        <v>83</v>
      </c>
      <c r="D281" s="4" t="s">
        <v>288</v>
      </c>
      <c r="E281" s="4" t="s">
        <v>297</v>
      </c>
      <c r="F281" s="6">
        <v>41.6</v>
      </c>
      <c r="G281" s="6">
        <v>0</v>
      </c>
      <c r="H281" s="6">
        <f t="shared" si="16"/>
        <v>58.24</v>
      </c>
      <c r="I281" s="6">
        <f t="shared" si="17"/>
        <v>58.24</v>
      </c>
      <c r="J281" t="s">
        <v>1604</v>
      </c>
    </row>
    <row r="282" spans="1:10" x14ac:dyDescent="0.35">
      <c r="A282" t="s">
        <v>1001</v>
      </c>
      <c r="B282" s="4" t="s">
        <v>321</v>
      </c>
      <c r="C282" s="4" t="s">
        <v>83</v>
      </c>
      <c r="D282" s="4" t="s">
        <v>288</v>
      </c>
      <c r="E282" s="4" t="s">
        <v>297</v>
      </c>
      <c r="F282" s="6">
        <v>37</v>
      </c>
      <c r="G282" s="6">
        <v>0</v>
      </c>
      <c r="H282" s="6">
        <f t="shared" si="16"/>
        <v>51.8</v>
      </c>
      <c r="I282" s="6">
        <f t="shared" si="17"/>
        <v>51.8</v>
      </c>
      <c r="J282" t="s">
        <v>1605</v>
      </c>
    </row>
    <row r="283" spans="1:10" x14ac:dyDescent="0.35">
      <c r="A283" t="s">
        <v>1002</v>
      </c>
      <c r="B283" s="4" t="s">
        <v>322</v>
      </c>
      <c r="C283" s="4" t="s">
        <v>83</v>
      </c>
      <c r="D283" s="4" t="s">
        <v>288</v>
      </c>
      <c r="E283" s="4" t="s">
        <v>297</v>
      </c>
      <c r="F283" s="6">
        <v>37</v>
      </c>
      <c r="G283" s="6">
        <v>0</v>
      </c>
      <c r="H283" s="6">
        <f t="shared" si="16"/>
        <v>51.8</v>
      </c>
      <c r="I283" s="6">
        <f t="shared" si="17"/>
        <v>51.8</v>
      </c>
      <c r="J283" t="s">
        <v>1606</v>
      </c>
    </row>
    <row r="284" spans="1:10" x14ac:dyDescent="0.35">
      <c r="A284" t="s">
        <v>1003</v>
      </c>
      <c r="B284" s="4" t="s">
        <v>323</v>
      </c>
      <c r="C284" s="4" t="s">
        <v>83</v>
      </c>
      <c r="D284" s="4" t="s">
        <v>288</v>
      </c>
      <c r="E284" s="4" t="s">
        <v>297</v>
      </c>
      <c r="F284" s="6">
        <v>36</v>
      </c>
      <c r="G284" s="6">
        <v>0</v>
      </c>
      <c r="H284" s="6">
        <f t="shared" si="16"/>
        <v>50.4</v>
      </c>
      <c r="I284" s="6">
        <f t="shared" si="17"/>
        <v>50.4</v>
      </c>
      <c r="J284" t="s">
        <v>1607</v>
      </c>
    </row>
    <row r="285" spans="1:10" x14ac:dyDescent="0.35">
      <c r="A285" t="s">
        <v>1004</v>
      </c>
      <c r="B285" s="4" t="s">
        <v>324</v>
      </c>
      <c r="C285" s="4" t="s">
        <v>325</v>
      </c>
      <c r="D285" s="4" t="s">
        <v>288</v>
      </c>
      <c r="E285" s="4" t="s">
        <v>297</v>
      </c>
      <c r="F285" s="6">
        <v>34.72</v>
      </c>
      <c r="G285" s="6">
        <v>0</v>
      </c>
      <c r="H285" s="6">
        <f t="shared" si="16"/>
        <v>48.607999999999997</v>
      </c>
      <c r="I285" s="6">
        <f t="shared" si="17"/>
        <v>48.607999999999997</v>
      </c>
      <c r="J285" t="s">
        <v>1608</v>
      </c>
    </row>
    <row r="286" spans="1:10" x14ac:dyDescent="0.35">
      <c r="A286" t="s">
        <v>1005</v>
      </c>
      <c r="B286" s="4" t="s">
        <v>326</v>
      </c>
      <c r="C286" s="4" t="s">
        <v>325</v>
      </c>
      <c r="D286" s="4" t="s">
        <v>288</v>
      </c>
      <c r="E286" s="4" t="s">
        <v>297</v>
      </c>
      <c r="F286" s="6">
        <v>34.72</v>
      </c>
      <c r="G286" s="6">
        <v>0</v>
      </c>
      <c r="H286" s="6">
        <f t="shared" si="16"/>
        <v>48.607999999999997</v>
      </c>
      <c r="I286" s="6">
        <f t="shared" si="17"/>
        <v>48.607999999999997</v>
      </c>
      <c r="J286" t="s">
        <v>1609</v>
      </c>
    </row>
    <row r="287" spans="1:10" x14ac:dyDescent="0.35">
      <c r="A287" t="s">
        <v>1006</v>
      </c>
      <c r="B287" s="4" t="s">
        <v>327</v>
      </c>
      <c r="C287" s="4" t="s">
        <v>23</v>
      </c>
      <c r="D287" s="4" t="s">
        <v>288</v>
      </c>
      <c r="E287" s="4" t="s">
        <v>297</v>
      </c>
      <c r="F287" s="6">
        <v>41.34</v>
      </c>
      <c r="G287" s="6">
        <v>0</v>
      </c>
      <c r="H287" s="6">
        <f t="shared" si="16"/>
        <v>57.876000000000005</v>
      </c>
      <c r="I287" s="6">
        <f t="shared" si="17"/>
        <v>57.876000000000005</v>
      </c>
      <c r="J287" t="s">
        <v>1610</v>
      </c>
    </row>
    <row r="288" spans="1:10" x14ac:dyDescent="0.35">
      <c r="A288" t="s">
        <v>1007</v>
      </c>
      <c r="B288" s="4" t="s">
        <v>328</v>
      </c>
      <c r="C288" s="4" t="s">
        <v>23</v>
      </c>
      <c r="D288" s="4" t="s">
        <v>288</v>
      </c>
      <c r="E288" s="4" t="s">
        <v>297</v>
      </c>
      <c r="F288" s="6">
        <v>42.9</v>
      </c>
      <c r="G288" s="6">
        <v>0</v>
      </c>
      <c r="H288" s="6">
        <f t="shared" si="16"/>
        <v>60.06</v>
      </c>
      <c r="I288" s="6">
        <f t="shared" si="17"/>
        <v>60.06</v>
      </c>
      <c r="J288" t="s">
        <v>1611</v>
      </c>
    </row>
    <row r="289" spans="1:10" x14ac:dyDescent="0.35">
      <c r="A289" t="s">
        <v>1008</v>
      </c>
      <c r="B289" s="4" t="s">
        <v>329</v>
      </c>
      <c r="C289" s="4" t="s">
        <v>23</v>
      </c>
      <c r="D289" s="4" t="s">
        <v>288</v>
      </c>
      <c r="E289" s="4" t="s">
        <v>297</v>
      </c>
      <c r="F289" s="6">
        <v>42.9</v>
      </c>
      <c r="G289" s="6">
        <v>0</v>
      </c>
      <c r="H289" s="6">
        <f t="shared" si="16"/>
        <v>60.06</v>
      </c>
      <c r="I289" s="6">
        <f t="shared" si="17"/>
        <v>60.06</v>
      </c>
      <c r="J289" t="s">
        <v>1612</v>
      </c>
    </row>
    <row r="290" spans="1:10" x14ac:dyDescent="0.35">
      <c r="A290" t="s">
        <v>1009</v>
      </c>
      <c r="B290" s="4" t="s">
        <v>330</v>
      </c>
      <c r="C290" s="4" t="s">
        <v>23</v>
      </c>
      <c r="D290" s="4" t="s">
        <v>288</v>
      </c>
      <c r="E290" s="4" t="s">
        <v>297</v>
      </c>
      <c r="F290" s="6">
        <v>49.4</v>
      </c>
      <c r="G290" s="6">
        <v>0</v>
      </c>
      <c r="H290" s="6">
        <f t="shared" si="16"/>
        <v>69.16</v>
      </c>
      <c r="I290" s="6">
        <f t="shared" si="17"/>
        <v>69.16</v>
      </c>
      <c r="J290" t="s">
        <v>1613</v>
      </c>
    </row>
    <row r="291" spans="1:10" x14ac:dyDescent="0.35">
      <c r="A291" t="s">
        <v>1010</v>
      </c>
      <c r="B291" s="4" t="s">
        <v>331</v>
      </c>
      <c r="C291" s="4" t="s">
        <v>23</v>
      </c>
      <c r="D291" s="4" t="s">
        <v>288</v>
      </c>
      <c r="E291" s="4" t="s">
        <v>297</v>
      </c>
      <c r="F291" s="6">
        <v>42.9</v>
      </c>
      <c r="G291" s="6">
        <v>0</v>
      </c>
      <c r="H291" s="6">
        <f t="shared" si="16"/>
        <v>60.06</v>
      </c>
      <c r="I291" s="6">
        <f t="shared" si="17"/>
        <v>60.06</v>
      </c>
      <c r="J291" t="s">
        <v>1614</v>
      </c>
    </row>
    <row r="292" spans="1:10" x14ac:dyDescent="0.35">
      <c r="A292" t="s">
        <v>1011</v>
      </c>
      <c r="B292" s="4" t="s">
        <v>332</v>
      </c>
      <c r="C292" s="4" t="s">
        <v>23</v>
      </c>
      <c r="D292" s="4" t="s">
        <v>288</v>
      </c>
      <c r="E292" s="4" t="s">
        <v>297</v>
      </c>
      <c r="F292" s="6">
        <v>44</v>
      </c>
      <c r="G292" s="6">
        <v>0</v>
      </c>
      <c r="H292" s="6">
        <f t="shared" si="16"/>
        <v>61.6</v>
      </c>
      <c r="I292" s="6">
        <f t="shared" si="17"/>
        <v>61.6</v>
      </c>
      <c r="J292" t="s">
        <v>1615</v>
      </c>
    </row>
    <row r="293" spans="1:10" x14ac:dyDescent="0.35">
      <c r="A293" t="s">
        <v>1012</v>
      </c>
      <c r="B293" s="4" t="s">
        <v>333</v>
      </c>
      <c r="C293" s="4" t="s">
        <v>23</v>
      </c>
      <c r="D293" s="4" t="s">
        <v>288</v>
      </c>
      <c r="E293" s="4" t="s">
        <v>297</v>
      </c>
      <c r="F293" s="6">
        <v>40.15</v>
      </c>
      <c r="G293" s="6">
        <v>0</v>
      </c>
      <c r="H293" s="6">
        <f t="shared" si="16"/>
        <v>56.209999999999994</v>
      </c>
      <c r="I293" s="6">
        <f t="shared" si="17"/>
        <v>56.209999999999994</v>
      </c>
      <c r="J293" t="s">
        <v>1616</v>
      </c>
    </row>
    <row r="294" spans="1:10" x14ac:dyDescent="0.35">
      <c r="A294" t="s">
        <v>1013</v>
      </c>
      <c r="B294" s="4" t="s">
        <v>334</v>
      </c>
      <c r="C294" s="4" t="s">
        <v>23</v>
      </c>
      <c r="D294" s="4" t="s">
        <v>288</v>
      </c>
      <c r="E294" s="4" t="s">
        <v>297</v>
      </c>
      <c r="F294" s="6">
        <v>44.55</v>
      </c>
      <c r="G294" s="6">
        <v>0</v>
      </c>
      <c r="H294" s="6">
        <f t="shared" si="16"/>
        <v>62.37</v>
      </c>
      <c r="I294" s="6">
        <f t="shared" si="17"/>
        <v>62.37</v>
      </c>
      <c r="J294" t="s">
        <v>1617</v>
      </c>
    </row>
    <row r="295" spans="1:10" x14ac:dyDescent="0.35">
      <c r="A295" t="s">
        <v>1014</v>
      </c>
      <c r="B295" s="4" t="s">
        <v>335</v>
      </c>
      <c r="C295" s="4" t="s">
        <v>336</v>
      </c>
      <c r="D295" s="4" t="s">
        <v>288</v>
      </c>
      <c r="E295" s="4" t="s">
        <v>297</v>
      </c>
      <c r="F295" s="6">
        <v>42.9</v>
      </c>
      <c r="G295" s="6">
        <v>0</v>
      </c>
      <c r="H295" s="6">
        <f t="shared" si="16"/>
        <v>60.06</v>
      </c>
      <c r="I295" s="6">
        <f t="shared" si="17"/>
        <v>60.06</v>
      </c>
      <c r="J295" t="s">
        <v>1619</v>
      </c>
    </row>
    <row r="296" spans="1:10" x14ac:dyDescent="0.35">
      <c r="A296" t="s">
        <v>1015</v>
      </c>
      <c r="B296" s="4" t="s">
        <v>337</v>
      </c>
      <c r="C296" s="4" t="s">
        <v>336</v>
      </c>
      <c r="D296" s="4" t="s">
        <v>288</v>
      </c>
      <c r="E296" s="4" t="s">
        <v>297</v>
      </c>
      <c r="F296" s="6">
        <v>42.9</v>
      </c>
      <c r="G296" s="6">
        <v>0</v>
      </c>
      <c r="H296" s="6">
        <f t="shared" si="16"/>
        <v>60.06</v>
      </c>
      <c r="I296" s="6">
        <f t="shared" si="17"/>
        <v>60.06</v>
      </c>
      <c r="J296" t="s">
        <v>1620</v>
      </c>
    </row>
    <row r="297" spans="1:10" x14ac:dyDescent="0.35">
      <c r="A297" t="s">
        <v>1016</v>
      </c>
      <c r="B297" s="4" t="s">
        <v>1618</v>
      </c>
      <c r="C297" s="4" t="s">
        <v>336</v>
      </c>
      <c r="D297" s="4" t="s">
        <v>288</v>
      </c>
      <c r="E297" s="4" t="s">
        <v>297</v>
      </c>
      <c r="F297" s="6">
        <v>42.9</v>
      </c>
      <c r="G297" s="6">
        <v>0</v>
      </c>
      <c r="H297" s="6">
        <f t="shared" si="16"/>
        <v>60.06</v>
      </c>
      <c r="I297" s="6">
        <f t="shared" si="17"/>
        <v>60.06</v>
      </c>
      <c r="J297" t="s">
        <v>1621</v>
      </c>
    </row>
    <row r="298" spans="1:10" x14ac:dyDescent="0.35">
      <c r="A298" t="s">
        <v>1017</v>
      </c>
      <c r="B298" s="4" t="s">
        <v>338</v>
      </c>
      <c r="C298" s="4" t="s">
        <v>336</v>
      </c>
      <c r="D298" s="4" t="s">
        <v>288</v>
      </c>
      <c r="E298" s="4" t="s">
        <v>297</v>
      </c>
      <c r="F298" s="6">
        <v>40</v>
      </c>
      <c r="G298" s="6">
        <v>0</v>
      </c>
      <c r="H298" s="6">
        <f t="shared" si="16"/>
        <v>56</v>
      </c>
      <c r="I298" s="6">
        <f t="shared" si="17"/>
        <v>56</v>
      </c>
      <c r="J298" t="s">
        <v>1622</v>
      </c>
    </row>
    <row r="299" spans="1:10" x14ac:dyDescent="0.35">
      <c r="A299" t="s">
        <v>1018</v>
      </c>
      <c r="B299" s="4" t="s">
        <v>339</v>
      </c>
      <c r="C299" s="4" t="s">
        <v>336</v>
      </c>
      <c r="D299" s="4" t="s">
        <v>288</v>
      </c>
      <c r="E299" s="4" t="s">
        <v>297</v>
      </c>
      <c r="F299" s="6">
        <v>45.54</v>
      </c>
      <c r="G299" s="6">
        <v>0</v>
      </c>
      <c r="H299" s="6">
        <f t="shared" si="16"/>
        <v>63.756</v>
      </c>
      <c r="I299" s="6">
        <f t="shared" si="17"/>
        <v>63.756</v>
      </c>
      <c r="J299" t="s">
        <v>1623</v>
      </c>
    </row>
    <row r="300" spans="1:10" x14ac:dyDescent="0.35">
      <c r="A300" t="s">
        <v>1019</v>
      </c>
      <c r="B300" s="4" t="s">
        <v>340</v>
      </c>
      <c r="C300" s="4" t="s">
        <v>336</v>
      </c>
      <c r="D300" s="4" t="s">
        <v>288</v>
      </c>
      <c r="E300" s="4" t="s">
        <v>297</v>
      </c>
      <c r="F300" s="6">
        <v>40</v>
      </c>
      <c r="G300" s="6">
        <v>0</v>
      </c>
      <c r="H300" s="6">
        <f t="shared" si="16"/>
        <v>56</v>
      </c>
      <c r="I300" s="6">
        <f t="shared" si="17"/>
        <v>56</v>
      </c>
      <c r="J300" t="s">
        <v>1624</v>
      </c>
    </row>
    <row r="301" spans="1:10" x14ac:dyDescent="0.35">
      <c r="A301" t="s">
        <v>1020</v>
      </c>
      <c r="B301" s="4" t="s">
        <v>341</v>
      </c>
      <c r="C301" s="4" t="s">
        <v>342</v>
      </c>
      <c r="D301" s="4" t="s">
        <v>288</v>
      </c>
      <c r="E301" s="4" t="s">
        <v>297</v>
      </c>
      <c r="F301" s="6">
        <v>35</v>
      </c>
      <c r="G301" s="6">
        <v>0</v>
      </c>
      <c r="H301" s="6">
        <f t="shared" si="16"/>
        <v>49</v>
      </c>
      <c r="I301" s="6">
        <f t="shared" si="17"/>
        <v>49</v>
      </c>
      <c r="J301" t="s">
        <v>1626</v>
      </c>
    </row>
    <row r="302" spans="1:10" x14ac:dyDescent="0.35">
      <c r="A302" t="s">
        <v>1021</v>
      </c>
      <c r="B302" s="4" t="s">
        <v>1625</v>
      </c>
      <c r="C302" s="4" t="s">
        <v>342</v>
      </c>
      <c r="D302" s="4" t="s">
        <v>288</v>
      </c>
      <c r="E302" s="4" t="s">
        <v>297</v>
      </c>
      <c r="F302" s="6">
        <v>45</v>
      </c>
      <c r="G302" s="6">
        <v>0</v>
      </c>
      <c r="H302" s="6">
        <f t="shared" si="16"/>
        <v>63</v>
      </c>
      <c r="I302" s="6">
        <f t="shared" si="17"/>
        <v>63</v>
      </c>
      <c r="J302" t="s">
        <v>1627</v>
      </c>
    </row>
    <row r="303" spans="1:10" x14ac:dyDescent="0.35">
      <c r="A303" t="s">
        <v>1022</v>
      </c>
      <c r="B303" s="4" t="s">
        <v>1628</v>
      </c>
      <c r="C303" s="4" t="s">
        <v>342</v>
      </c>
      <c r="D303" s="4" t="s">
        <v>288</v>
      </c>
      <c r="E303" s="4" t="s">
        <v>297</v>
      </c>
      <c r="F303" s="6">
        <v>33</v>
      </c>
      <c r="G303" s="6">
        <v>0</v>
      </c>
      <c r="H303" s="6">
        <f t="shared" si="16"/>
        <v>46.2</v>
      </c>
      <c r="I303" s="6">
        <f t="shared" si="17"/>
        <v>46.2</v>
      </c>
      <c r="J303" t="s">
        <v>1629</v>
      </c>
    </row>
    <row r="304" spans="1:10" x14ac:dyDescent="0.35">
      <c r="A304" t="s">
        <v>1023</v>
      </c>
      <c r="B304" s="4" t="s">
        <v>1631</v>
      </c>
      <c r="C304" s="4" t="s">
        <v>342</v>
      </c>
      <c r="D304" s="4" t="s">
        <v>288</v>
      </c>
      <c r="E304" s="4" t="s">
        <v>297</v>
      </c>
      <c r="F304" s="6">
        <v>43</v>
      </c>
      <c r="G304" s="6">
        <v>0</v>
      </c>
      <c r="H304" s="6">
        <f t="shared" si="16"/>
        <v>60.2</v>
      </c>
      <c r="I304" s="6">
        <f t="shared" si="17"/>
        <v>60.2</v>
      </c>
      <c r="J304" t="s">
        <v>1630</v>
      </c>
    </row>
    <row r="305" spans="1:10" x14ac:dyDescent="0.35">
      <c r="A305" t="s">
        <v>1024</v>
      </c>
      <c r="B305" s="4" t="s">
        <v>343</v>
      </c>
      <c r="C305" s="4" t="s">
        <v>342</v>
      </c>
      <c r="D305" s="4" t="s">
        <v>288</v>
      </c>
      <c r="E305" s="4" t="s">
        <v>297</v>
      </c>
      <c r="F305" s="6">
        <v>48</v>
      </c>
      <c r="G305" s="6">
        <v>0</v>
      </c>
      <c r="H305" s="6">
        <f t="shared" si="16"/>
        <v>67.2</v>
      </c>
      <c r="I305" s="6">
        <f t="shared" si="17"/>
        <v>67.2</v>
      </c>
      <c r="J305" t="s">
        <v>1632</v>
      </c>
    </row>
    <row r="306" spans="1:10" x14ac:dyDescent="0.35">
      <c r="A306" t="s">
        <v>1025</v>
      </c>
      <c r="B306" s="4" t="s">
        <v>344</v>
      </c>
      <c r="C306" s="4" t="s">
        <v>345</v>
      </c>
      <c r="D306" s="4" t="s">
        <v>288</v>
      </c>
      <c r="E306" s="4" t="s">
        <v>297</v>
      </c>
      <c r="F306" s="6">
        <v>22.05</v>
      </c>
      <c r="G306" s="6">
        <v>0</v>
      </c>
      <c r="H306" s="6">
        <f t="shared" si="16"/>
        <v>30.87</v>
      </c>
      <c r="I306" s="6">
        <f t="shared" si="17"/>
        <v>30.87</v>
      </c>
      <c r="J306" t="s">
        <v>1633</v>
      </c>
    </row>
    <row r="307" spans="1:10" x14ac:dyDescent="0.35">
      <c r="A307" t="s">
        <v>1026</v>
      </c>
      <c r="B307" s="4" t="s">
        <v>346</v>
      </c>
      <c r="C307" s="4" t="s">
        <v>345</v>
      </c>
      <c r="D307" s="4" t="s">
        <v>288</v>
      </c>
      <c r="E307" s="4" t="s">
        <v>297</v>
      </c>
      <c r="F307" s="6">
        <v>30.08</v>
      </c>
      <c r="G307" s="6">
        <v>0</v>
      </c>
      <c r="H307" s="6">
        <f t="shared" si="16"/>
        <v>42.111999999999995</v>
      </c>
      <c r="I307" s="6">
        <f t="shared" si="17"/>
        <v>42.111999999999995</v>
      </c>
      <c r="J307" t="s">
        <v>1634</v>
      </c>
    </row>
    <row r="308" spans="1:10" x14ac:dyDescent="0.35">
      <c r="A308" t="s">
        <v>1027</v>
      </c>
      <c r="B308" s="4" t="s">
        <v>347</v>
      </c>
      <c r="C308" s="4" t="s">
        <v>345</v>
      </c>
      <c r="D308" s="4" t="s">
        <v>288</v>
      </c>
      <c r="E308" s="4" t="s">
        <v>297</v>
      </c>
      <c r="F308" s="6">
        <v>23.7</v>
      </c>
      <c r="G308" s="6">
        <v>0</v>
      </c>
      <c r="H308" s="6">
        <f t="shared" si="16"/>
        <v>33.18</v>
      </c>
      <c r="I308" s="6">
        <f t="shared" si="17"/>
        <v>33.18</v>
      </c>
      <c r="J308" t="s">
        <v>1635</v>
      </c>
    </row>
    <row r="309" spans="1:10" x14ac:dyDescent="0.35">
      <c r="A309" t="s">
        <v>1028</v>
      </c>
      <c r="B309" s="4" t="s">
        <v>348</v>
      </c>
      <c r="C309" s="4" t="s">
        <v>345</v>
      </c>
      <c r="D309" s="4" t="s">
        <v>288</v>
      </c>
      <c r="E309" s="4" t="s">
        <v>297</v>
      </c>
      <c r="F309" s="6">
        <v>46.35</v>
      </c>
      <c r="G309" s="6">
        <v>0</v>
      </c>
      <c r="H309" s="6">
        <f t="shared" si="16"/>
        <v>64.89</v>
      </c>
      <c r="I309" s="6">
        <f t="shared" si="17"/>
        <v>64.89</v>
      </c>
      <c r="J309" t="s">
        <v>1636</v>
      </c>
    </row>
    <row r="310" spans="1:10" x14ac:dyDescent="0.35">
      <c r="A310" t="s">
        <v>1029</v>
      </c>
      <c r="B310" s="4" t="s">
        <v>349</v>
      </c>
      <c r="C310" s="4" t="s">
        <v>345</v>
      </c>
      <c r="D310" s="4" t="s">
        <v>288</v>
      </c>
      <c r="E310" s="4" t="s">
        <v>297</v>
      </c>
      <c r="F310" s="6">
        <v>34.76</v>
      </c>
      <c r="G310" s="6">
        <v>0</v>
      </c>
      <c r="H310" s="6">
        <f t="shared" si="16"/>
        <v>48.664000000000001</v>
      </c>
      <c r="I310" s="6">
        <f t="shared" si="17"/>
        <v>48.664000000000001</v>
      </c>
      <c r="J310" t="s">
        <v>1637</v>
      </c>
    </row>
    <row r="311" spans="1:10" x14ac:dyDescent="0.35">
      <c r="A311" t="s">
        <v>1030</v>
      </c>
      <c r="B311" s="4" t="s">
        <v>350</v>
      </c>
      <c r="C311" s="4" t="s">
        <v>345</v>
      </c>
      <c r="D311" s="4" t="s">
        <v>288</v>
      </c>
      <c r="E311" s="4" t="s">
        <v>297</v>
      </c>
      <c r="F311" s="6">
        <v>17.399999999999999</v>
      </c>
      <c r="G311" s="6">
        <v>0</v>
      </c>
      <c r="H311" s="6">
        <f t="shared" si="16"/>
        <v>24.36</v>
      </c>
      <c r="I311" s="6">
        <f t="shared" si="17"/>
        <v>24.36</v>
      </c>
      <c r="J311" t="s">
        <v>1638</v>
      </c>
    </row>
    <row r="312" spans="1:10" x14ac:dyDescent="0.35">
      <c r="A312" t="s">
        <v>1031</v>
      </c>
      <c r="B312" s="4" t="s">
        <v>351</v>
      </c>
      <c r="C312" s="4" t="s">
        <v>345</v>
      </c>
      <c r="D312" s="4" t="s">
        <v>288</v>
      </c>
      <c r="E312" s="4" t="s">
        <v>297</v>
      </c>
      <c r="F312" s="6">
        <v>31.4</v>
      </c>
      <c r="G312" s="6">
        <v>0</v>
      </c>
      <c r="H312" s="6">
        <f t="shared" ref="H312:H375" si="18">(F312*0.4)+F312</f>
        <v>43.96</v>
      </c>
      <c r="I312" s="6">
        <f t="shared" ref="I312:I375" si="19">((F312+G312)*0.4)+(F312+G312)</f>
        <v>43.96</v>
      </c>
      <c r="J312" t="s">
        <v>1639</v>
      </c>
    </row>
    <row r="313" spans="1:10" x14ac:dyDescent="0.35">
      <c r="A313" t="s">
        <v>1032</v>
      </c>
      <c r="B313" s="4" t="s">
        <v>352</v>
      </c>
      <c r="C313" s="4" t="s">
        <v>345</v>
      </c>
      <c r="D313" s="4" t="s">
        <v>288</v>
      </c>
      <c r="E313" s="4" t="s">
        <v>297</v>
      </c>
      <c r="F313" s="6">
        <v>20.85</v>
      </c>
      <c r="G313" s="6">
        <v>0</v>
      </c>
      <c r="H313" s="6">
        <f t="shared" si="18"/>
        <v>29.190000000000005</v>
      </c>
      <c r="I313" s="6">
        <f t="shared" si="19"/>
        <v>29.190000000000005</v>
      </c>
      <c r="J313" t="s">
        <v>1640</v>
      </c>
    </row>
    <row r="314" spans="1:10" x14ac:dyDescent="0.35">
      <c r="A314" t="s">
        <v>1033</v>
      </c>
      <c r="B314" s="4" t="s">
        <v>353</v>
      </c>
      <c r="C314" s="4" t="s">
        <v>345</v>
      </c>
      <c r="D314" s="4" t="s">
        <v>288</v>
      </c>
      <c r="E314" s="4" t="s">
        <v>297</v>
      </c>
      <c r="F314" s="6">
        <v>22.64</v>
      </c>
      <c r="G314" s="6">
        <v>0</v>
      </c>
      <c r="H314" s="6">
        <f t="shared" si="18"/>
        <v>31.696000000000002</v>
      </c>
      <c r="I314" s="6">
        <f t="shared" si="19"/>
        <v>31.696000000000002</v>
      </c>
      <c r="J314" t="s">
        <v>1641</v>
      </c>
    </row>
    <row r="315" spans="1:10" x14ac:dyDescent="0.35">
      <c r="A315" t="s">
        <v>1034</v>
      </c>
      <c r="B315" s="4" t="s">
        <v>354</v>
      </c>
      <c r="C315" s="4" t="s">
        <v>345</v>
      </c>
      <c r="D315" s="4" t="s">
        <v>288</v>
      </c>
      <c r="E315" s="4" t="s">
        <v>297</v>
      </c>
      <c r="F315" s="6">
        <v>24.45</v>
      </c>
      <c r="G315" s="6">
        <v>0</v>
      </c>
      <c r="H315" s="6">
        <f t="shared" si="18"/>
        <v>34.230000000000004</v>
      </c>
      <c r="I315" s="6">
        <f t="shared" si="19"/>
        <v>34.230000000000004</v>
      </c>
      <c r="J315" t="s">
        <v>1642</v>
      </c>
    </row>
    <row r="316" spans="1:10" x14ac:dyDescent="0.35">
      <c r="A316" t="s">
        <v>1035</v>
      </c>
      <c r="B316" s="4" t="s">
        <v>355</v>
      </c>
      <c r="C316" s="4" t="s">
        <v>345</v>
      </c>
      <c r="D316" s="4" t="s">
        <v>288</v>
      </c>
      <c r="E316" s="4" t="s">
        <v>297</v>
      </c>
      <c r="F316" s="6">
        <v>25</v>
      </c>
      <c r="G316" s="6">
        <v>0</v>
      </c>
      <c r="H316" s="6">
        <f t="shared" si="18"/>
        <v>35</v>
      </c>
      <c r="I316" s="6">
        <f t="shared" si="19"/>
        <v>35</v>
      </c>
      <c r="J316" t="s">
        <v>1643</v>
      </c>
    </row>
    <row r="317" spans="1:10" x14ac:dyDescent="0.35">
      <c r="A317" t="s">
        <v>1036</v>
      </c>
      <c r="B317" s="4" t="s">
        <v>356</v>
      </c>
      <c r="C317" s="4" t="s">
        <v>345</v>
      </c>
      <c r="D317" s="4" t="s">
        <v>288</v>
      </c>
      <c r="E317" s="4" t="s">
        <v>297</v>
      </c>
      <c r="F317" s="6">
        <v>25</v>
      </c>
      <c r="G317" s="6">
        <v>0</v>
      </c>
      <c r="H317" s="6">
        <f t="shared" si="18"/>
        <v>35</v>
      </c>
      <c r="I317" s="6">
        <f t="shared" si="19"/>
        <v>35</v>
      </c>
      <c r="J317" t="s">
        <v>1644</v>
      </c>
    </row>
    <row r="318" spans="1:10" x14ac:dyDescent="0.35">
      <c r="A318" t="s">
        <v>1037</v>
      </c>
      <c r="B318" s="4" t="s">
        <v>357</v>
      </c>
      <c r="C318" s="4" t="s">
        <v>345</v>
      </c>
      <c r="D318" s="4" t="s">
        <v>288</v>
      </c>
      <c r="E318" s="4" t="s">
        <v>297</v>
      </c>
      <c r="F318" s="6">
        <v>22.52</v>
      </c>
      <c r="G318" s="6">
        <v>0</v>
      </c>
      <c r="H318" s="6">
        <f t="shared" si="18"/>
        <v>31.527999999999999</v>
      </c>
      <c r="I318" s="6">
        <f t="shared" si="19"/>
        <v>31.527999999999999</v>
      </c>
      <c r="J318" t="s">
        <v>1645</v>
      </c>
    </row>
    <row r="319" spans="1:10" x14ac:dyDescent="0.35">
      <c r="A319" t="s">
        <v>1038</v>
      </c>
      <c r="B319" s="4" t="s">
        <v>358</v>
      </c>
      <c r="C319" s="4" t="s">
        <v>345</v>
      </c>
      <c r="D319" s="4" t="s">
        <v>288</v>
      </c>
      <c r="E319" s="4" t="s">
        <v>297</v>
      </c>
      <c r="F319" s="6">
        <v>24.99</v>
      </c>
      <c r="G319" s="6">
        <v>0</v>
      </c>
      <c r="H319" s="6">
        <f t="shared" si="18"/>
        <v>34.985999999999997</v>
      </c>
      <c r="I319" s="6">
        <f t="shared" si="19"/>
        <v>34.985999999999997</v>
      </c>
      <c r="J319" t="s">
        <v>1646</v>
      </c>
    </row>
    <row r="320" spans="1:10" x14ac:dyDescent="0.35">
      <c r="A320" t="s">
        <v>1039</v>
      </c>
      <c r="B320" s="4" t="s">
        <v>359</v>
      </c>
      <c r="C320" s="4" t="s">
        <v>345</v>
      </c>
      <c r="D320" s="4" t="s">
        <v>288</v>
      </c>
      <c r="E320" s="4" t="s">
        <v>297</v>
      </c>
      <c r="F320" s="6">
        <v>20.85</v>
      </c>
      <c r="G320" s="6">
        <v>0</v>
      </c>
      <c r="H320" s="6">
        <f t="shared" si="18"/>
        <v>29.190000000000005</v>
      </c>
      <c r="I320" s="6">
        <f t="shared" si="19"/>
        <v>29.190000000000005</v>
      </c>
      <c r="J320" t="s">
        <v>1647</v>
      </c>
    </row>
    <row r="321" spans="1:10" x14ac:dyDescent="0.35">
      <c r="A321" t="s">
        <v>1040</v>
      </c>
      <c r="B321" s="4" t="s">
        <v>360</v>
      </c>
      <c r="C321" s="4" t="s">
        <v>361</v>
      </c>
      <c r="D321" s="4" t="s">
        <v>288</v>
      </c>
      <c r="E321" s="4" t="s">
        <v>297</v>
      </c>
      <c r="F321" s="6">
        <v>0</v>
      </c>
      <c r="G321" s="6">
        <v>0</v>
      </c>
      <c r="H321" s="6">
        <f t="shared" si="18"/>
        <v>0</v>
      </c>
      <c r="I321" s="6">
        <f t="shared" si="19"/>
        <v>0</v>
      </c>
      <c r="J321" t="s">
        <v>1648</v>
      </c>
    </row>
    <row r="322" spans="1:10" x14ac:dyDescent="0.35">
      <c r="A322" t="s">
        <v>1041</v>
      </c>
      <c r="B322" s="4" t="s">
        <v>362</v>
      </c>
      <c r="C322" s="4" t="s">
        <v>361</v>
      </c>
      <c r="D322" s="4" t="s">
        <v>288</v>
      </c>
      <c r="E322" s="4" t="s">
        <v>297</v>
      </c>
      <c r="F322" s="6">
        <v>0</v>
      </c>
      <c r="G322" s="6">
        <v>0</v>
      </c>
      <c r="H322" s="6">
        <f t="shared" si="18"/>
        <v>0</v>
      </c>
      <c r="I322" s="6">
        <f t="shared" si="19"/>
        <v>0</v>
      </c>
      <c r="J322" t="s">
        <v>1649</v>
      </c>
    </row>
    <row r="323" spans="1:10" x14ac:dyDescent="0.35">
      <c r="A323" t="s">
        <v>1042</v>
      </c>
      <c r="B323" s="4" t="s">
        <v>363</v>
      </c>
      <c r="C323" s="4" t="s">
        <v>361</v>
      </c>
      <c r="D323" s="4" t="s">
        <v>288</v>
      </c>
      <c r="E323" s="4" t="s">
        <v>297</v>
      </c>
      <c r="F323" s="6">
        <v>0</v>
      </c>
      <c r="G323" s="6">
        <v>0</v>
      </c>
      <c r="H323" s="6">
        <f t="shared" si="18"/>
        <v>0</v>
      </c>
      <c r="I323" s="6">
        <f t="shared" si="19"/>
        <v>0</v>
      </c>
      <c r="J323" t="s">
        <v>1650</v>
      </c>
    </row>
    <row r="324" spans="1:10" x14ac:dyDescent="0.35">
      <c r="A324" t="s">
        <v>1043</v>
      </c>
      <c r="B324" s="4" t="s">
        <v>364</v>
      </c>
      <c r="C324" s="4" t="s">
        <v>361</v>
      </c>
      <c r="D324" s="4" t="s">
        <v>288</v>
      </c>
      <c r="E324" s="4" t="s">
        <v>297</v>
      </c>
      <c r="F324" s="6">
        <v>0</v>
      </c>
      <c r="G324" s="6">
        <v>0</v>
      </c>
      <c r="H324" s="6">
        <f t="shared" si="18"/>
        <v>0</v>
      </c>
      <c r="I324" s="6">
        <f t="shared" si="19"/>
        <v>0</v>
      </c>
      <c r="J324" t="s">
        <v>1651</v>
      </c>
    </row>
    <row r="325" spans="1:10" x14ac:dyDescent="0.35">
      <c r="A325" t="s">
        <v>1044</v>
      </c>
      <c r="B325" s="4" t="s">
        <v>365</v>
      </c>
      <c r="C325" s="4" t="s">
        <v>361</v>
      </c>
      <c r="D325" s="4" t="s">
        <v>288</v>
      </c>
      <c r="E325" s="4" t="s">
        <v>297</v>
      </c>
      <c r="F325" s="6">
        <v>0</v>
      </c>
      <c r="G325" s="6">
        <v>0</v>
      </c>
      <c r="H325" s="6">
        <f t="shared" si="18"/>
        <v>0</v>
      </c>
      <c r="I325" s="6">
        <f t="shared" si="19"/>
        <v>0</v>
      </c>
      <c r="J325" t="s">
        <v>1652</v>
      </c>
    </row>
    <row r="326" spans="1:10" x14ac:dyDescent="0.35">
      <c r="A326" t="s">
        <v>1045</v>
      </c>
      <c r="B326" s="4" t="s">
        <v>366</v>
      </c>
      <c r="C326" s="4" t="s">
        <v>361</v>
      </c>
      <c r="D326" s="4" t="s">
        <v>288</v>
      </c>
      <c r="E326" s="4" t="s">
        <v>297</v>
      </c>
      <c r="F326" s="6">
        <v>0</v>
      </c>
      <c r="G326" s="6">
        <v>0</v>
      </c>
      <c r="H326" s="6">
        <f t="shared" si="18"/>
        <v>0</v>
      </c>
      <c r="I326" s="6">
        <f t="shared" si="19"/>
        <v>0</v>
      </c>
      <c r="J326" t="s">
        <v>1653</v>
      </c>
    </row>
    <row r="327" spans="1:10" x14ac:dyDescent="0.35">
      <c r="A327" t="s">
        <v>1046</v>
      </c>
      <c r="B327" s="4" t="s">
        <v>367</v>
      </c>
      <c r="C327" s="4" t="s">
        <v>361</v>
      </c>
      <c r="D327" s="4" t="s">
        <v>288</v>
      </c>
      <c r="E327" s="4" t="s">
        <v>297</v>
      </c>
      <c r="F327" s="6">
        <v>0</v>
      </c>
      <c r="G327" s="6">
        <v>0</v>
      </c>
      <c r="H327" s="6">
        <f t="shared" si="18"/>
        <v>0</v>
      </c>
      <c r="I327" s="6">
        <f t="shared" si="19"/>
        <v>0</v>
      </c>
      <c r="J327" t="s">
        <v>1654</v>
      </c>
    </row>
    <row r="328" spans="1:10" x14ac:dyDescent="0.35">
      <c r="A328" t="s">
        <v>1047</v>
      </c>
      <c r="B328" s="4" t="s">
        <v>368</v>
      </c>
      <c r="C328" s="4" t="s">
        <v>369</v>
      </c>
      <c r="D328" s="4" t="s">
        <v>288</v>
      </c>
      <c r="E328" s="4" t="s">
        <v>297</v>
      </c>
      <c r="F328" s="6">
        <v>0</v>
      </c>
      <c r="G328" s="6">
        <v>0</v>
      </c>
      <c r="H328" s="6">
        <f t="shared" si="18"/>
        <v>0</v>
      </c>
      <c r="I328" s="6">
        <f t="shared" si="19"/>
        <v>0</v>
      </c>
      <c r="J328" t="s">
        <v>1655</v>
      </c>
    </row>
    <row r="329" spans="1:10" x14ac:dyDescent="0.35">
      <c r="A329" t="s">
        <v>1048</v>
      </c>
      <c r="B329" s="4" t="s">
        <v>370</v>
      </c>
      <c r="C329" s="4" t="s">
        <v>369</v>
      </c>
      <c r="D329" s="4" t="s">
        <v>288</v>
      </c>
      <c r="E329" s="4" t="s">
        <v>297</v>
      </c>
      <c r="F329" s="6">
        <v>55.2</v>
      </c>
      <c r="G329" s="6">
        <v>0</v>
      </c>
      <c r="H329" s="6">
        <f t="shared" si="18"/>
        <v>77.28</v>
      </c>
      <c r="I329" s="6">
        <f t="shared" si="19"/>
        <v>77.28</v>
      </c>
      <c r="J329" t="s">
        <v>1656</v>
      </c>
    </row>
    <row r="330" spans="1:10" x14ac:dyDescent="0.35">
      <c r="A330" t="s">
        <v>1049</v>
      </c>
      <c r="B330" s="4" t="s">
        <v>371</v>
      </c>
      <c r="C330" s="4" t="s">
        <v>372</v>
      </c>
      <c r="D330" s="4" t="s">
        <v>288</v>
      </c>
      <c r="E330" s="4" t="s">
        <v>297</v>
      </c>
      <c r="F330" s="6">
        <v>45.61</v>
      </c>
      <c r="G330" s="6">
        <v>0</v>
      </c>
      <c r="H330" s="6">
        <f t="shared" si="18"/>
        <v>63.853999999999999</v>
      </c>
      <c r="I330" s="6">
        <f t="shared" si="19"/>
        <v>63.853999999999999</v>
      </c>
      <c r="J330" t="s">
        <v>1657</v>
      </c>
    </row>
    <row r="331" spans="1:10" x14ac:dyDescent="0.35">
      <c r="A331" t="s">
        <v>1050</v>
      </c>
      <c r="B331" s="4" t="s">
        <v>373</v>
      </c>
      <c r="C331" s="4" t="s">
        <v>23</v>
      </c>
      <c r="D331" s="4" t="s">
        <v>288</v>
      </c>
      <c r="E331" s="4" t="s">
        <v>297</v>
      </c>
      <c r="F331" s="6">
        <v>32.200000000000003</v>
      </c>
      <c r="G331" s="6">
        <v>0</v>
      </c>
      <c r="H331" s="6">
        <f t="shared" si="18"/>
        <v>45.080000000000005</v>
      </c>
      <c r="I331" s="6">
        <f t="shared" si="19"/>
        <v>45.080000000000005</v>
      </c>
      <c r="J331" t="s">
        <v>1658</v>
      </c>
    </row>
    <row r="332" spans="1:10" x14ac:dyDescent="0.35">
      <c r="A332" t="s">
        <v>1051</v>
      </c>
      <c r="B332" s="4" t="s">
        <v>374</v>
      </c>
      <c r="C332" s="4" t="s">
        <v>23</v>
      </c>
      <c r="D332" s="4" t="s">
        <v>288</v>
      </c>
      <c r="E332" s="4" t="s">
        <v>297</v>
      </c>
      <c r="F332" s="6">
        <v>45.44</v>
      </c>
      <c r="G332" s="6">
        <v>0</v>
      </c>
      <c r="H332" s="6">
        <f t="shared" si="18"/>
        <v>63.616</v>
      </c>
      <c r="I332" s="6">
        <f t="shared" si="19"/>
        <v>63.616</v>
      </c>
      <c r="J332" t="s">
        <v>1659</v>
      </c>
    </row>
    <row r="333" spans="1:10" x14ac:dyDescent="0.35">
      <c r="A333" t="s">
        <v>1052</v>
      </c>
      <c r="B333" s="4" t="s">
        <v>375</v>
      </c>
      <c r="C333" s="4" t="s">
        <v>55</v>
      </c>
      <c r="D333" s="4" t="s">
        <v>376</v>
      </c>
      <c r="E333" s="4" t="s">
        <v>377</v>
      </c>
      <c r="F333" s="6">
        <v>47.44</v>
      </c>
      <c r="G333" s="6">
        <v>0</v>
      </c>
      <c r="H333" s="6">
        <f t="shared" si="18"/>
        <v>66.415999999999997</v>
      </c>
      <c r="I333" s="6">
        <f t="shared" si="19"/>
        <v>66.415999999999997</v>
      </c>
      <c r="J333" t="s">
        <v>1660</v>
      </c>
    </row>
    <row r="334" spans="1:10" x14ac:dyDescent="0.35">
      <c r="A334" t="s">
        <v>1053</v>
      </c>
      <c r="B334" s="4" t="s">
        <v>378</v>
      </c>
      <c r="C334" s="4" t="s">
        <v>55</v>
      </c>
      <c r="D334" s="4" t="s">
        <v>376</v>
      </c>
      <c r="E334" s="4" t="s">
        <v>377</v>
      </c>
      <c r="F334" s="6">
        <v>47.44</v>
      </c>
      <c r="G334" s="6">
        <v>0</v>
      </c>
      <c r="H334" s="6">
        <f t="shared" si="18"/>
        <v>66.415999999999997</v>
      </c>
      <c r="I334" s="6">
        <f t="shared" si="19"/>
        <v>66.415999999999997</v>
      </c>
      <c r="J334" t="s">
        <v>1661</v>
      </c>
    </row>
    <row r="335" spans="1:10" x14ac:dyDescent="0.35">
      <c r="A335" t="s">
        <v>1054</v>
      </c>
      <c r="B335" s="4" t="s">
        <v>379</v>
      </c>
      <c r="C335" s="4" t="s">
        <v>55</v>
      </c>
      <c r="D335" s="4" t="s">
        <v>376</v>
      </c>
      <c r="E335" s="4" t="s">
        <v>377</v>
      </c>
      <c r="F335" s="6">
        <v>39.78</v>
      </c>
      <c r="G335" s="6">
        <v>0</v>
      </c>
      <c r="H335" s="6">
        <f t="shared" si="18"/>
        <v>55.692</v>
      </c>
      <c r="I335" s="6">
        <f t="shared" si="19"/>
        <v>55.692</v>
      </c>
      <c r="J335" t="s">
        <v>1662</v>
      </c>
    </row>
    <row r="336" spans="1:10" x14ac:dyDescent="0.35">
      <c r="A336" t="s">
        <v>1055</v>
      </c>
      <c r="B336" s="4" t="s">
        <v>380</v>
      </c>
      <c r="C336" s="4" t="s">
        <v>55</v>
      </c>
      <c r="D336" s="4" t="s">
        <v>376</v>
      </c>
      <c r="E336" s="4" t="s">
        <v>377</v>
      </c>
      <c r="F336" s="6">
        <v>39.78</v>
      </c>
      <c r="G336" s="6">
        <v>0</v>
      </c>
      <c r="H336" s="6">
        <f t="shared" si="18"/>
        <v>55.692</v>
      </c>
      <c r="I336" s="6">
        <f t="shared" si="19"/>
        <v>55.692</v>
      </c>
      <c r="J336" t="s">
        <v>1663</v>
      </c>
    </row>
    <row r="337" spans="1:10" x14ac:dyDescent="0.35">
      <c r="A337" t="s">
        <v>1056</v>
      </c>
      <c r="B337" s="4" t="s">
        <v>381</v>
      </c>
      <c r="C337" s="4" t="s">
        <v>55</v>
      </c>
      <c r="D337" s="4" t="s">
        <v>376</v>
      </c>
      <c r="E337" s="4" t="s">
        <v>377</v>
      </c>
      <c r="F337" s="6">
        <v>30.6</v>
      </c>
      <c r="G337" s="6">
        <v>0</v>
      </c>
      <c r="H337" s="6">
        <f t="shared" si="18"/>
        <v>42.84</v>
      </c>
      <c r="I337" s="6">
        <f t="shared" si="19"/>
        <v>42.84</v>
      </c>
      <c r="J337" t="s">
        <v>1664</v>
      </c>
    </row>
    <row r="338" spans="1:10" x14ac:dyDescent="0.35">
      <c r="A338" t="s">
        <v>1057</v>
      </c>
      <c r="B338" s="4" t="s">
        <v>382</v>
      </c>
      <c r="C338" s="4" t="s">
        <v>55</v>
      </c>
      <c r="D338" s="4" t="s">
        <v>376</v>
      </c>
      <c r="E338" s="4" t="s">
        <v>377</v>
      </c>
      <c r="F338" s="6">
        <v>30.6</v>
      </c>
      <c r="G338" s="6">
        <v>0</v>
      </c>
      <c r="H338" s="6">
        <f t="shared" si="18"/>
        <v>42.84</v>
      </c>
      <c r="I338" s="6">
        <f t="shared" si="19"/>
        <v>42.84</v>
      </c>
      <c r="J338" t="s">
        <v>1665</v>
      </c>
    </row>
    <row r="339" spans="1:10" x14ac:dyDescent="0.35">
      <c r="A339" t="s">
        <v>1058</v>
      </c>
      <c r="B339" s="4" t="s">
        <v>383</v>
      </c>
      <c r="C339" s="4" t="s">
        <v>55</v>
      </c>
      <c r="D339" s="4" t="s">
        <v>376</v>
      </c>
      <c r="E339" s="4" t="s">
        <v>377</v>
      </c>
      <c r="F339" s="6">
        <v>33.549999999999997</v>
      </c>
      <c r="G339" s="6">
        <v>0</v>
      </c>
      <c r="H339" s="6">
        <f t="shared" si="18"/>
        <v>46.97</v>
      </c>
      <c r="I339" s="6">
        <f t="shared" si="19"/>
        <v>46.97</v>
      </c>
      <c r="J339" t="s">
        <v>1666</v>
      </c>
    </row>
    <row r="340" spans="1:10" x14ac:dyDescent="0.35">
      <c r="A340" t="s">
        <v>1059</v>
      </c>
      <c r="B340" s="4" t="s">
        <v>384</v>
      </c>
      <c r="C340" s="4" t="s">
        <v>55</v>
      </c>
      <c r="D340" s="4" t="s">
        <v>376</v>
      </c>
      <c r="E340" s="4" t="s">
        <v>377</v>
      </c>
      <c r="F340" s="6">
        <v>33.549999999999997</v>
      </c>
      <c r="G340" s="6">
        <v>0</v>
      </c>
      <c r="H340" s="6">
        <f t="shared" si="18"/>
        <v>46.97</v>
      </c>
      <c r="I340" s="6">
        <f t="shared" si="19"/>
        <v>46.97</v>
      </c>
      <c r="J340" t="s">
        <v>1667</v>
      </c>
    </row>
    <row r="341" spans="1:10" x14ac:dyDescent="0.35">
      <c r="A341" t="s">
        <v>1060</v>
      </c>
      <c r="B341" s="4" t="s">
        <v>385</v>
      </c>
      <c r="C341" s="4" t="s">
        <v>386</v>
      </c>
      <c r="D341" s="4" t="s">
        <v>376</v>
      </c>
      <c r="E341" s="4" t="s">
        <v>377</v>
      </c>
      <c r="F341" s="6">
        <v>63.48</v>
      </c>
      <c r="G341" s="6">
        <v>0</v>
      </c>
      <c r="H341" s="6">
        <f t="shared" si="18"/>
        <v>88.872</v>
      </c>
      <c r="I341" s="6">
        <f t="shared" si="19"/>
        <v>88.872</v>
      </c>
      <c r="J341" t="s">
        <v>1668</v>
      </c>
    </row>
    <row r="342" spans="1:10" x14ac:dyDescent="0.35">
      <c r="A342" t="s">
        <v>1061</v>
      </c>
      <c r="B342" s="4" t="s">
        <v>387</v>
      </c>
      <c r="C342" s="4" t="s">
        <v>388</v>
      </c>
      <c r="D342" s="4" t="s">
        <v>376</v>
      </c>
      <c r="E342" s="4" t="s">
        <v>377</v>
      </c>
      <c r="F342" s="6">
        <v>54.6</v>
      </c>
      <c r="G342" s="6">
        <v>0</v>
      </c>
      <c r="H342" s="6">
        <f t="shared" si="18"/>
        <v>76.44</v>
      </c>
      <c r="I342" s="6">
        <f t="shared" si="19"/>
        <v>76.44</v>
      </c>
      <c r="J342" t="s">
        <v>1669</v>
      </c>
    </row>
    <row r="343" spans="1:10" x14ac:dyDescent="0.35">
      <c r="A343" t="s">
        <v>1062</v>
      </c>
      <c r="B343" s="4" t="s">
        <v>389</v>
      </c>
      <c r="C343" s="4" t="s">
        <v>388</v>
      </c>
      <c r="D343" s="4" t="s">
        <v>376</v>
      </c>
      <c r="E343" s="4" t="s">
        <v>377</v>
      </c>
      <c r="F343" s="6">
        <v>54.6</v>
      </c>
      <c r="G343" s="6">
        <v>0</v>
      </c>
      <c r="H343" s="6">
        <f t="shared" si="18"/>
        <v>76.44</v>
      </c>
      <c r="I343" s="6">
        <f t="shared" si="19"/>
        <v>76.44</v>
      </c>
      <c r="J343" t="s">
        <v>1670</v>
      </c>
    </row>
    <row r="344" spans="1:10" x14ac:dyDescent="0.35">
      <c r="A344" t="s">
        <v>1063</v>
      </c>
      <c r="B344" s="4" t="s">
        <v>390</v>
      </c>
      <c r="C344" s="4" t="s">
        <v>388</v>
      </c>
      <c r="D344" s="4" t="s">
        <v>376</v>
      </c>
      <c r="E344" s="4" t="s">
        <v>377</v>
      </c>
      <c r="F344" s="6">
        <v>54.6</v>
      </c>
      <c r="G344" s="6">
        <v>0</v>
      </c>
      <c r="H344" s="6">
        <f t="shared" si="18"/>
        <v>76.44</v>
      </c>
      <c r="I344" s="6">
        <f t="shared" si="19"/>
        <v>76.44</v>
      </c>
      <c r="J344" t="s">
        <v>1671</v>
      </c>
    </row>
    <row r="345" spans="1:10" x14ac:dyDescent="0.35">
      <c r="A345" t="s">
        <v>1064</v>
      </c>
      <c r="B345" s="4" t="s">
        <v>391</v>
      </c>
      <c r="C345" s="4" t="s">
        <v>388</v>
      </c>
      <c r="D345" s="4" t="s">
        <v>376</v>
      </c>
      <c r="E345" s="4" t="s">
        <v>377</v>
      </c>
      <c r="F345" s="6">
        <v>54.6</v>
      </c>
      <c r="G345" s="6">
        <v>0</v>
      </c>
      <c r="H345" s="6">
        <f t="shared" si="18"/>
        <v>76.44</v>
      </c>
      <c r="I345" s="6">
        <f t="shared" si="19"/>
        <v>76.44</v>
      </c>
      <c r="J345" t="s">
        <v>1672</v>
      </c>
    </row>
    <row r="346" spans="1:10" x14ac:dyDescent="0.35">
      <c r="A346" t="s">
        <v>1065</v>
      </c>
      <c r="B346" s="4" t="s">
        <v>392</v>
      </c>
      <c r="C346" s="4" t="s">
        <v>393</v>
      </c>
      <c r="D346" s="4" t="s">
        <v>376</v>
      </c>
      <c r="E346" s="4" t="s">
        <v>377</v>
      </c>
      <c r="F346" s="6">
        <v>72.45</v>
      </c>
      <c r="G346" s="6">
        <v>0</v>
      </c>
      <c r="H346" s="6">
        <f t="shared" si="18"/>
        <v>101.43</v>
      </c>
      <c r="I346" s="6">
        <f t="shared" si="19"/>
        <v>101.43</v>
      </c>
      <c r="J346" t="s">
        <v>1673</v>
      </c>
    </row>
    <row r="347" spans="1:10" x14ac:dyDescent="0.35">
      <c r="A347" t="s">
        <v>1066</v>
      </c>
      <c r="B347" s="4" t="s">
        <v>394</v>
      </c>
      <c r="C347" s="4" t="s">
        <v>83</v>
      </c>
      <c r="D347" s="4" t="s">
        <v>376</v>
      </c>
      <c r="E347" s="4" t="s">
        <v>377</v>
      </c>
      <c r="F347" s="6">
        <v>70</v>
      </c>
      <c r="G347" s="6">
        <v>0</v>
      </c>
      <c r="H347" s="6">
        <f t="shared" si="18"/>
        <v>98</v>
      </c>
      <c r="I347" s="6">
        <f t="shared" si="19"/>
        <v>98</v>
      </c>
      <c r="J347" t="s">
        <v>1674</v>
      </c>
    </row>
    <row r="348" spans="1:10" x14ac:dyDescent="0.35">
      <c r="A348" t="s">
        <v>1067</v>
      </c>
      <c r="B348" s="4" t="s">
        <v>395</v>
      </c>
      <c r="C348" s="4" t="s">
        <v>83</v>
      </c>
      <c r="D348" s="4" t="s">
        <v>376</v>
      </c>
      <c r="E348" s="4" t="s">
        <v>377</v>
      </c>
      <c r="F348" s="6">
        <v>37.200000000000003</v>
      </c>
      <c r="G348" s="6">
        <v>0</v>
      </c>
      <c r="H348" s="6">
        <f t="shared" si="18"/>
        <v>52.080000000000005</v>
      </c>
      <c r="I348" s="6">
        <f t="shared" si="19"/>
        <v>52.080000000000005</v>
      </c>
      <c r="J348" t="s">
        <v>1675</v>
      </c>
    </row>
    <row r="349" spans="1:10" x14ac:dyDescent="0.35">
      <c r="A349" t="s">
        <v>1068</v>
      </c>
      <c r="B349" s="4" t="s">
        <v>396</v>
      </c>
      <c r="C349" s="4" t="s">
        <v>83</v>
      </c>
      <c r="D349" s="4" t="s">
        <v>376</v>
      </c>
      <c r="E349" s="4" t="s">
        <v>377</v>
      </c>
      <c r="F349" s="6">
        <v>37.200000000000003</v>
      </c>
      <c r="G349" s="6">
        <v>0</v>
      </c>
      <c r="H349" s="6">
        <f t="shared" si="18"/>
        <v>52.080000000000005</v>
      </c>
      <c r="I349" s="6">
        <f t="shared" si="19"/>
        <v>52.080000000000005</v>
      </c>
      <c r="J349" t="s">
        <v>1676</v>
      </c>
    </row>
    <row r="350" spans="1:10" x14ac:dyDescent="0.35">
      <c r="A350" t="s">
        <v>1069</v>
      </c>
      <c r="B350" s="4" t="s">
        <v>397</v>
      </c>
      <c r="C350" s="4" t="s">
        <v>83</v>
      </c>
      <c r="D350" s="4" t="s">
        <v>376</v>
      </c>
      <c r="E350" s="4" t="s">
        <v>377</v>
      </c>
      <c r="F350" s="6">
        <v>37.200000000000003</v>
      </c>
      <c r="G350" s="6">
        <v>0</v>
      </c>
      <c r="H350" s="6">
        <f t="shared" si="18"/>
        <v>52.080000000000005</v>
      </c>
      <c r="I350" s="6">
        <f t="shared" si="19"/>
        <v>52.080000000000005</v>
      </c>
      <c r="J350" t="s">
        <v>1677</v>
      </c>
    </row>
    <row r="351" spans="1:10" x14ac:dyDescent="0.35">
      <c r="A351" t="s">
        <v>1070</v>
      </c>
      <c r="B351" s="4" t="s">
        <v>398</v>
      </c>
      <c r="C351" s="4" t="s">
        <v>83</v>
      </c>
      <c r="D351" s="4" t="s">
        <v>376</v>
      </c>
      <c r="E351" s="4" t="s">
        <v>377</v>
      </c>
      <c r="F351" s="6">
        <v>37.200000000000003</v>
      </c>
      <c r="G351" s="6">
        <v>0</v>
      </c>
      <c r="H351" s="6">
        <f t="shared" si="18"/>
        <v>52.080000000000005</v>
      </c>
      <c r="I351" s="6">
        <f t="shared" si="19"/>
        <v>52.080000000000005</v>
      </c>
      <c r="J351" t="s">
        <v>1678</v>
      </c>
    </row>
    <row r="352" spans="1:10" x14ac:dyDescent="0.35">
      <c r="A352" t="s">
        <v>1071</v>
      </c>
      <c r="B352" s="4" t="s">
        <v>399</v>
      </c>
      <c r="C352" s="4" t="s">
        <v>23</v>
      </c>
      <c r="D352" s="4" t="s">
        <v>376</v>
      </c>
      <c r="E352" s="4" t="s">
        <v>400</v>
      </c>
      <c r="F352" s="6">
        <v>42.75</v>
      </c>
      <c r="G352" s="6">
        <v>0</v>
      </c>
      <c r="H352" s="6">
        <f t="shared" si="18"/>
        <v>59.85</v>
      </c>
      <c r="I352" s="6">
        <f t="shared" si="19"/>
        <v>59.85</v>
      </c>
      <c r="J352" t="s">
        <v>1679</v>
      </c>
    </row>
    <row r="353" spans="1:10" x14ac:dyDescent="0.35">
      <c r="A353" t="s">
        <v>1072</v>
      </c>
      <c r="B353" s="4" t="s">
        <v>401</v>
      </c>
      <c r="C353" s="4" t="s">
        <v>296</v>
      </c>
      <c r="D353" s="4" t="s">
        <v>376</v>
      </c>
      <c r="E353" s="4" t="s">
        <v>402</v>
      </c>
      <c r="F353" s="6">
        <v>57.72</v>
      </c>
      <c r="G353" s="6">
        <v>0</v>
      </c>
      <c r="H353" s="6">
        <f t="shared" si="18"/>
        <v>80.807999999999993</v>
      </c>
      <c r="I353" s="6">
        <f t="shared" si="19"/>
        <v>80.807999999999993</v>
      </c>
      <c r="J353" t="s">
        <v>1680</v>
      </c>
    </row>
    <row r="354" spans="1:10" x14ac:dyDescent="0.35">
      <c r="A354" t="s">
        <v>1073</v>
      </c>
      <c r="B354" s="4" t="s">
        <v>403</v>
      </c>
      <c r="C354" s="4" t="s">
        <v>296</v>
      </c>
      <c r="D354" s="4" t="s">
        <v>376</v>
      </c>
      <c r="E354" s="4" t="s">
        <v>402</v>
      </c>
      <c r="F354" s="6">
        <v>58</v>
      </c>
      <c r="G354" s="6">
        <v>0</v>
      </c>
      <c r="H354" s="6">
        <f t="shared" si="18"/>
        <v>81.2</v>
      </c>
      <c r="I354" s="6">
        <f t="shared" si="19"/>
        <v>81.2</v>
      </c>
      <c r="J354" t="s">
        <v>1681</v>
      </c>
    </row>
    <row r="355" spans="1:10" x14ac:dyDescent="0.35">
      <c r="A355" t="s">
        <v>1074</v>
      </c>
      <c r="B355" s="4" t="s">
        <v>404</v>
      </c>
      <c r="C355" s="4" t="s">
        <v>296</v>
      </c>
      <c r="D355" s="4" t="s">
        <v>376</v>
      </c>
      <c r="E355" s="4" t="s">
        <v>402</v>
      </c>
      <c r="F355" s="6">
        <v>0</v>
      </c>
      <c r="G355" s="6">
        <v>0</v>
      </c>
      <c r="H355" s="6">
        <f t="shared" si="18"/>
        <v>0</v>
      </c>
      <c r="I355" s="6">
        <f t="shared" si="19"/>
        <v>0</v>
      </c>
      <c r="J355" t="s">
        <v>1682</v>
      </c>
    </row>
    <row r="356" spans="1:10" x14ac:dyDescent="0.35">
      <c r="A356" t="s">
        <v>1075</v>
      </c>
      <c r="B356" s="4" t="s">
        <v>405</v>
      </c>
      <c r="C356" s="4" t="s">
        <v>296</v>
      </c>
      <c r="D356" s="4" t="s">
        <v>376</v>
      </c>
      <c r="E356" s="4" t="s">
        <v>402</v>
      </c>
      <c r="F356" s="6">
        <v>0</v>
      </c>
      <c r="G356" s="6">
        <v>0</v>
      </c>
      <c r="H356" s="6">
        <f t="shared" si="18"/>
        <v>0</v>
      </c>
      <c r="I356" s="6">
        <f t="shared" si="19"/>
        <v>0</v>
      </c>
      <c r="J356" t="s">
        <v>1683</v>
      </c>
    </row>
    <row r="357" spans="1:10" x14ac:dyDescent="0.35">
      <c r="A357" t="s">
        <v>1076</v>
      </c>
      <c r="B357" s="4" t="s">
        <v>406</v>
      </c>
      <c r="C357" s="4" t="s">
        <v>83</v>
      </c>
      <c r="D357" s="4" t="s">
        <v>376</v>
      </c>
      <c r="E357" s="4" t="s">
        <v>402</v>
      </c>
      <c r="F357" s="6">
        <v>48</v>
      </c>
      <c r="G357" s="6">
        <v>0</v>
      </c>
      <c r="H357" s="6">
        <f t="shared" si="18"/>
        <v>67.2</v>
      </c>
      <c r="I357" s="6">
        <f t="shared" si="19"/>
        <v>67.2</v>
      </c>
      <c r="J357" t="s">
        <v>1684</v>
      </c>
    </row>
    <row r="358" spans="1:10" x14ac:dyDescent="0.35">
      <c r="A358" t="s">
        <v>1077</v>
      </c>
      <c r="B358" s="4" t="s">
        <v>407</v>
      </c>
      <c r="C358" s="4" t="s">
        <v>83</v>
      </c>
      <c r="D358" s="4" t="s">
        <v>376</v>
      </c>
      <c r="E358" s="4" t="s">
        <v>402</v>
      </c>
      <c r="F358" s="6">
        <v>60</v>
      </c>
      <c r="G358" s="6">
        <v>0</v>
      </c>
      <c r="H358" s="6">
        <f t="shared" si="18"/>
        <v>84</v>
      </c>
      <c r="I358" s="6">
        <f t="shared" si="19"/>
        <v>84</v>
      </c>
      <c r="J358" t="s">
        <v>1685</v>
      </c>
    </row>
    <row r="359" spans="1:10" x14ac:dyDescent="0.35">
      <c r="A359" t="s">
        <v>1078</v>
      </c>
      <c r="B359" s="4" t="s">
        <v>408</v>
      </c>
      <c r="C359" s="4" t="s">
        <v>83</v>
      </c>
      <c r="D359" s="4" t="s">
        <v>376</v>
      </c>
      <c r="E359" s="4" t="s">
        <v>402</v>
      </c>
      <c r="F359" s="6">
        <v>60</v>
      </c>
      <c r="G359" s="6">
        <v>0</v>
      </c>
      <c r="H359" s="6">
        <f t="shared" si="18"/>
        <v>84</v>
      </c>
      <c r="I359" s="6">
        <f t="shared" si="19"/>
        <v>84</v>
      </c>
      <c r="J359" t="s">
        <v>1686</v>
      </c>
    </row>
    <row r="360" spans="1:10" x14ac:dyDescent="0.35">
      <c r="A360" t="s">
        <v>1079</v>
      </c>
      <c r="B360" s="4" t="s">
        <v>409</v>
      </c>
      <c r="C360" s="4" t="s">
        <v>83</v>
      </c>
      <c r="D360" s="4" t="s">
        <v>376</v>
      </c>
      <c r="E360" s="4" t="s">
        <v>402</v>
      </c>
      <c r="F360" s="6">
        <v>60</v>
      </c>
      <c r="G360" s="6">
        <v>0</v>
      </c>
      <c r="H360" s="6">
        <f t="shared" si="18"/>
        <v>84</v>
      </c>
      <c r="I360" s="6">
        <f t="shared" si="19"/>
        <v>84</v>
      </c>
      <c r="J360" t="s">
        <v>1687</v>
      </c>
    </row>
    <row r="361" spans="1:10" x14ac:dyDescent="0.35">
      <c r="A361" t="s">
        <v>1080</v>
      </c>
      <c r="B361" s="4" t="s">
        <v>410</v>
      </c>
      <c r="C361" s="4" t="s">
        <v>83</v>
      </c>
      <c r="D361" s="4" t="s">
        <v>376</v>
      </c>
      <c r="E361" s="4" t="s">
        <v>402</v>
      </c>
      <c r="F361" s="6">
        <v>57</v>
      </c>
      <c r="G361" s="6">
        <v>0</v>
      </c>
      <c r="H361" s="6">
        <f t="shared" si="18"/>
        <v>79.8</v>
      </c>
      <c r="I361" s="6">
        <f t="shared" si="19"/>
        <v>79.8</v>
      </c>
      <c r="J361" t="s">
        <v>1688</v>
      </c>
    </row>
    <row r="362" spans="1:10" x14ac:dyDescent="0.35">
      <c r="A362" t="s">
        <v>1081</v>
      </c>
      <c r="B362" s="4" t="s">
        <v>411</v>
      </c>
      <c r="C362" s="4" t="s">
        <v>412</v>
      </c>
      <c r="D362" s="4" t="s">
        <v>376</v>
      </c>
      <c r="E362" s="4" t="s">
        <v>413</v>
      </c>
      <c r="F362" s="6">
        <v>13.31</v>
      </c>
      <c r="G362" s="6">
        <v>0</v>
      </c>
      <c r="H362" s="6">
        <f t="shared" si="18"/>
        <v>18.634</v>
      </c>
      <c r="I362" s="6">
        <f t="shared" si="19"/>
        <v>18.634</v>
      </c>
      <c r="J362" t="s">
        <v>1689</v>
      </c>
    </row>
    <row r="363" spans="1:10" x14ac:dyDescent="0.35">
      <c r="A363" t="s">
        <v>1082</v>
      </c>
      <c r="B363" s="4" t="s">
        <v>414</v>
      </c>
      <c r="C363" s="4" t="s">
        <v>412</v>
      </c>
      <c r="D363" s="4" t="s">
        <v>376</v>
      </c>
      <c r="E363" s="4" t="s">
        <v>413</v>
      </c>
      <c r="F363" s="6">
        <v>13.31</v>
      </c>
      <c r="G363" s="6">
        <v>0</v>
      </c>
      <c r="H363" s="6">
        <f t="shared" si="18"/>
        <v>18.634</v>
      </c>
      <c r="I363" s="6">
        <f t="shared" si="19"/>
        <v>18.634</v>
      </c>
      <c r="J363" t="s">
        <v>1690</v>
      </c>
    </row>
    <row r="364" spans="1:10" x14ac:dyDescent="0.35">
      <c r="A364" t="s">
        <v>1083</v>
      </c>
      <c r="B364" s="4" t="s">
        <v>415</v>
      </c>
      <c r="C364" s="4" t="s">
        <v>412</v>
      </c>
      <c r="D364" s="4" t="s">
        <v>376</v>
      </c>
      <c r="E364" s="4" t="s">
        <v>413</v>
      </c>
      <c r="F364" s="6">
        <v>13.31</v>
      </c>
      <c r="G364" s="6">
        <v>0</v>
      </c>
      <c r="H364" s="6">
        <f t="shared" si="18"/>
        <v>18.634</v>
      </c>
      <c r="I364" s="6">
        <f t="shared" si="19"/>
        <v>18.634</v>
      </c>
      <c r="J364" t="s">
        <v>1691</v>
      </c>
    </row>
    <row r="365" spans="1:10" x14ac:dyDescent="0.35">
      <c r="A365" t="s">
        <v>1084</v>
      </c>
      <c r="B365" s="4" t="s">
        <v>416</v>
      </c>
      <c r="C365" s="4" t="s">
        <v>412</v>
      </c>
      <c r="D365" s="4" t="s">
        <v>376</v>
      </c>
      <c r="E365" s="4" t="s">
        <v>413</v>
      </c>
      <c r="F365" s="6">
        <v>13.31</v>
      </c>
      <c r="G365" s="6">
        <v>0</v>
      </c>
      <c r="H365" s="6">
        <f t="shared" si="18"/>
        <v>18.634</v>
      </c>
      <c r="I365" s="6">
        <f t="shared" si="19"/>
        <v>18.634</v>
      </c>
      <c r="J365" t="s">
        <v>1692</v>
      </c>
    </row>
    <row r="366" spans="1:10" x14ac:dyDescent="0.35">
      <c r="A366" t="s">
        <v>1085</v>
      </c>
      <c r="B366" s="4" t="s">
        <v>417</v>
      </c>
      <c r="C366" s="4" t="s">
        <v>412</v>
      </c>
      <c r="D366" s="4" t="s">
        <v>376</v>
      </c>
      <c r="E366" s="4" t="s">
        <v>413</v>
      </c>
      <c r="F366" s="6">
        <v>17.5</v>
      </c>
      <c r="G366" s="6">
        <v>0</v>
      </c>
      <c r="H366" s="6">
        <f t="shared" si="18"/>
        <v>24.5</v>
      </c>
      <c r="I366" s="6">
        <f t="shared" si="19"/>
        <v>24.5</v>
      </c>
      <c r="J366" t="s">
        <v>1693</v>
      </c>
    </row>
    <row r="367" spans="1:10" x14ac:dyDescent="0.35">
      <c r="A367" t="s">
        <v>1086</v>
      </c>
      <c r="B367" s="4" t="s">
        <v>418</v>
      </c>
      <c r="C367" s="4" t="s">
        <v>412</v>
      </c>
      <c r="D367" s="4" t="s">
        <v>376</v>
      </c>
      <c r="E367" s="4" t="s">
        <v>413</v>
      </c>
      <c r="F367" s="6">
        <v>13.31</v>
      </c>
      <c r="G367" s="6">
        <v>0</v>
      </c>
      <c r="H367" s="6">
        <f t="shared" si="18"/>
        <v>18.634</v>
      </c>
      <c r="I367" s="6">
        <f t="shared" si="19"/>
        <v>18.634</v>
      </c>
      <c r="J367" t="s">
        <v>1694</v>
      </c>
    </row>
    <row r="368" spans="1:10" x14ac:dyDescent="0.35">
      <c r="A368" t="s">
        <v>1087</v>
      </c>
      <c r="B368" s="4" t="s">
        <v>419</v>
      </c>
      <c r="C368" s="4" t="s">
        <v>412</v>
      </c>
      <c r="D368" s="4" t="s">
        <v>376</v>
      </c>
      <c r="E368" s="4" t="s">
        <v>413</v>
      </c>
      <c r="F368" s="6">
        <v>13.31</v>
      </c>
      <c r="G368" s="6">
        <v>0</v>
      </c>
      <c r="H368" s="6">
        <f t="shared" si="18"/>
        <v>18.634</v>
      </c>
      <c r="I368" s="6">
        <f t="shared" si="19"/>
        <v>18.634</v>
      </c>
      <c r="J368" t="s">
        <v>1695</v>
      </c>
    </row>
    <row r="369" spans="1:10" x14ac:dyDescent="0.35">
      <c r="A369" t="s">
        <v>1088</v>
      </c>
      <c r="B369" s="4" t="s">
        <v>420</v>
      </c>
      <c r="C369" s="4" t="s">
        <v>412</v>
      </c>
      <c r="D369" s="4" t="s">
        <v>376</v>
      </c>
      <c r="E369" s="4" t="s">
        <v>413</v>
      </c>
      <c r="F369" s="6">
        <v>16.760000000000002</v>
      </c>
      <c r="G369" s="6">
        <v>0</v>
      </c>
      <c r="H369" s="6">
        <f t="shared" si="18"/>
        <v>23.464000000000002</v>
      </c>
      <c r="I369" s="6">
        <f t="shared" si="19"/>
        <v>23.464000000000002</v>
      </c>
      <c r="J369" t="s">
        <v>1696</v>
      </c>
    </row>
    <row r="370" spans="1:10" x14ac:dyDescent="0.35">
      <c r="A370" t="s">
        <v>1089</v>
      </c>
      <c r="B370" s="4" t="s">
        <v>421</v>
      </c>
      <c r="C370" s="4" t="s">
        <v>412</v>
      </c>
      <c r="D370" s="4" t="s">
        <v>376</v>
      </c>
      <c r="E370" s="4" t="s">
        <v>413</v>
      </c>
      <c r="F370" s="6">
        <v>13.31</v>
      </c>
      <c r="G370" s="6">
        <v>0</v>
      </c>
      <c r="H370" s="6">
        <f t="shared" si="18"/>
        <v>18.634</v>
      </c>
      <c r="I370" s="6">
        <f t="shared" si="19"/>
        <v>18.634</v>
      </c>
      <c r="J370" t="s">
        <v>1697</v>
      </c>
    </row>
    <row r="371" spans="1:10" x14ac:dyDescent="0.35">
      <c r="A371" t="s">
        <v>1090</v>
      </c>
      <c r="B371" s="4" t="s">
        <v>422</v>
      </c>
      <c r="C371" s="4" t="s">
        <v>412</v>
      </c>
      <c r="D371" s="4" t="s">
        <v>376</v>
      </c>
      <c r="E371" s="4" t="s">
        <v>413</v>
      </c>
      <c r="F371" s="6">
        <v>13.31</v>
      </c>
      <c r="G371" s="6">
        <v>0</v>
      </c>
      <c r="H371" s="6">
        <f t="shared" si="18"/>
        <v>18.634</v>
      </c>
      <c r="I371" s="6">
        <f t="shared" si="19"/>
        <v>18.634</v>
      </c>
      <c r="J371" t="s">
        <v>1698</v>
      </c>
    </row>
    <row r="372" spans="1:10" x14ac:dyDescent="0.35">
      <c r="A372" t="s">
        <v>1091</v>
      </c>
      <c r="B372" s="4" t="s">
        <v>423</v>
      </c>
      <c r="C372" s="4" t="s">
        <v>412</v>
      </c>
      <c r="D372" s="4" t="s">
        <v>376</v>
      </c>
      <c r="E372" s="4" t="s">
        <v>413</v>
      </c>
      <c r="F372" s="6">
        <v>13.31</v>
      </c>
      <c r="G372" s="6">
        <v>0</v>
      </c>
      <c r="H372" s="6">
        <f t="shared" si="18"/>
        <v>18.634</v>
      </c>
      <c r="I372" s="6">
        <f t="shared" si="19"/>
        <v>18.634</v>
      </c>
      <c r="J372" t="s">
        <v>1699</v>
      </c>
    </row>
    <row r="373" spans="1:10" x14ac:dyDescent="0.35">
      <c r="A373" t="s">
        <v>1092</v>
      </c>
      <c r="B373" s="4" t="s">
        <v>424</v>
      </c>
      <c r="C373" s="4" t="s">
        <v>412</v>
      </c>
      <c r="D373" s="4" t="s">
        <v>376</v>
      </c>
      <c r="E373" s="4" t="s">
        <v>425</v>
      </c>
      <c r="F373" s="6">
        <v>20.2</v>
      </c>
      <c r="G373" s="6">
        <v>0</v>
      </c>
      <c r="H373" s="6">
        <f t="shared" si="18"/>
        <v>28.28</v>
      </c>
      <c r="I373" s="6">
        <f t="shared" si="19"/>
        <v>28.28</v>
      </c>
      <c r="J373" t="s">
        <v>1700</v>
      </c>
    </row>
    <row r="374" spans="1:10" x14ac:dyDescent="0.35">
      <c r="A374" t="s">
        <v>1093</v>
      </c>
      <c r="B374" s="4" t="s">
        <v>426</v>
      </c>
      <c r="C374" s="4" t="s">
        <v>412</v>
      </c>
      <c r="D374" s="4" t="s">
        <v>376</v>
      </c>
      <c r="E374" s="4" t="s">
        <v>425</v>
      </c>
      <c r="F374" s="6">
        <v>20.2</v>
      </c>
      <c r="G374" s="6">
        <v>0</v>
      </c>
      <c r="H374" s="6">
        <f t="shared" si="18"/>
        <v>28.28</v>
      </c>
      <c r="I374" s="6">
        <f t="shared" si="19"/>
        <v>28.28</v>
      </c>
      <c r="J374" t="s">
        <v>1701</v>
      </c>
    </row>
    <row r="375" spans="1:10" x14ac:dyDescent="0.35">
      <c r="A375" t="s">
        <v>1094</v>
      </c>
      <c r="B375" s="4" t="s">
        <v>427</v>
      </c>
      <c r="C375" s="4" t="s">
        <v>428</v>
      </c>
      <c r="D375" s="4" t="s">
        <v>376</v>
      </c>
      <c r="E375" s="4" t="s">
        <v>413</v>
      </c>
      <c r="F375" s="6">
        <v>30.54</v>
      </c>
      <c r="G375" s="6">
        <v>0</v>
      </c>
      <c r="H375" s="6">
        <f t="shared" si="18"/>
        <v>42.756</v>
      </c>
      <c r="I375" s="6">
        <f t="shared" si="19"/>
        <v>42.756</v>
      </c>
      <c r="J375" t="s">
        <v>1702</v>
      </c>
    </row>
    <row r="376" spans="1:10" x14ac:dyDescent="0.35">
      <c r="A376" t="s">
        <v>1095</v>
      </c>
      <c r="B376" s="4" t="s">
        <v>429</v>
      </c>
      <c r="C376" s="4" t="s">
        <v>430</v>
      </c>
      <c r="D376" s="4" t="s">
        <v>376</v>
      </c>
      <c r="E376" s="4" t="s">
        <v>413</v>
      </c>
      <c r="F376" s="6">
        <v>31.54</v>
      </c>
      <c r="G376" s="6">
        <v>0</v>
      </c>
      <c r="H376" s="6">
        <f t="shared" ref="H376:H438" si="20">(F376*0.4)+F376</f>
        <v>44.155999999999999</v>
      </c>
      <c r="I376" s="6">
        <f t="shared" ref="I376:I438" si="21">((F376+G376)*0.4)+(F376+G376)</f>
        <v>44.155999999999999</v>
      </c>
      <c r="J376" t="s">
        <v>1703</v>
      </c>
    </row>
    <row r="377" spans="1:10" x14ac:dyDescent="0.35">
      <c r="A377" t="s">
        <v>1096</v>
      </c>
      <c r="B377" s="4" t="s">
        <v>431</v>
      </c>
      <c r="C377" s="4" t="s">
        <v>432</v>
      </c>
      <c r="D377" s="4" t="s">
        <v>376</v>
      </c>
      <c r="E377" s="4" t="s">
        <v>433</v>
      </c>
      <c r="F377" s="6">
        <v>42</v>
      </c>
      <c r="G377" s="6">
        <v>0</v>
      </c>
      <c r="H377" s="6">
        <f t="shared" si="20"/>
        <v>58.8</v>
      </c>
      <c r="I377" s="6">
        <f t="shared" si="21"/>
        <v>58.8</v>
      </c>
      <c r="J377" t="s">
        <v>1704</v>
      </c>
    </row>
    <row r="378" spans="1:10" x14ac:dyDescent="0.35">
      <c r="A378" t="s">
        <v>1097</v>
      </c>
      <c r="B378" s="4" t="s">
        <v>434</v>
      </c>
      <c r="C378" s="4" t="s">
        <v>432</v>
      </c>
      <c r="D378" s="4" t="s">
        <v>376</v>
      </c>
      <c r="E378" s="4" t="s">
        <v>433</v>
      </c>
      <c r="F378" s="6">
        <v>68</v>
      </c>
      <c r="G378" s="6">
        <v>0</v>
      </c>
      <c r="H378" s="6">
        <f t="shared" si="20"/>
        <v>95.2</v>
      </c>
      <c r="I378" s="6">
        <f t="shared" si="21"/>
        <v>95.2</v>
      </c>
      <c r="J378" t="s">
        <v>1705</v>
      </c>
    </row>
    <row r="379" spans="1:10" x14ac:dyDescent="0.35">
      <c r="A379" t="s">
        <v>1098</v>
      </c>
      <c r="B379" s="4" t="s">
        <v>435</v>
      </c>
      <c r="C379" s="4" t="s">
        <v>432</v>
      </c>
      <c r="D379" s="4" t="s">
        <v>376</v>
      </c>
      <c r="E379" s="4" t="s">
        <v>433</v>
      </c>
      <c r="F379" s="6">
        <v>36</v>
      </c>
      <c r="G379" s="6">
        <v>0</v>
      </c>
      <c r="H379" s="6">
        <f t="shared" si="20"/>
        <v>50.4</v>
      </c>
      <c r="I379" s="6">
        <f t="shared" si="21"/>
        <v>50.4</v>
      </c>
      <c r="J379" t="s">
        <v>1706</v>
      </c>
    </row>
    <row r="380" spans="1:10" x14ac:dyDescent="0.35">
      <c r="A380" t="s">
        <v>1099</v>
      </c>
      <c r="B380" s="4" t="s">
        <v>436</v>
      </c>
      <c r="C380" s="4" t="s">
        <v>437</v>
      </c>
      <c r="D380" s="4" t="s">
        <v>376</v>
      </c>
      <c r="E380" s="4" t="s">
        <v>433</v>
      </c>
      <c r="F380" s="6">
        <v>29.67</v>
      </c>
      <c r="G380" s="6">
        <v>0</v>
      </c>
      <c r="H380" s="6">
        <f t="shared" si="20"/>
        <v>41.538000000000004</v>
      </c>
      <c r="I380" s="6">
        <f t="shared" si="21"/>
        <v>41.538000000000004</v>
      </c>
      <c r="J380" t="s">
        <v>1707</v>
      </c>
    </row>
    <row r="381" spans="1:10" x14ac:dyDescent="0.35">
      <c r="A381" t="s">
        <v>1100</v>
      </c>
      <c r="B381" s="4" t="s">
        <v>438</v>
      </c>
      <c r="C381" s="4" t="s">
        <v>437</v>
      </c>
      <c r="D381" s="4" t="s">
        <v>376</v>
      </c>
      <c r="E381" s="4" t="s">
        <v>433</v>
      </c>
      <c r="F381" s="6">
        <v>31.24</v>
      </c>
      <c r="G381" s="6">
        <v>0</v>
      </c>
      <c r="H381" s="6">
        <f t="shared" si="20"/>
        <v>43.735999999999997</v>
      </c>
      <c r="I381" s="6">
        <f t="shared" si="21"/>
        <v>43.735999999999997</v>
      </c>
      <c r="J381" t="s">
        <v>1708</v>
      </c>
    </row>
    <row r="382" spans="1:10" x14ac:dyDescent="0.35">
      <c r="A382" t="s">
        <v>1101</v>
      </c>
      <c r="B382" s="4" t="s">
        <v>439</v>
      </c>
      <c r="C382" s="4" t="s">
        <v>440</v>
      </c>
      <c r="D382" s="4" t="s">
        <v>376</v>
      </c>
      <c r="E382" s="4" t="s">
        <v>441</v>
      </c>
      <c r="F382" s="6">
        <v>0</v>
      </c>
      <c r="G382" s="6">
        <v>0</v>
      </c>
      <c r="H382" s="6">
        <f t="shared" si="20"/>
        <v>0</v>
      </c>
      <c r="I382" s="6">
        <f t="shared" si="21"/>
        <v>0</v>
      </c>
      <c r="J382" t="s">
        <v>1709</v>
      </c>
    </row>
    <row r="383" spans="1:10" x14ac:dyDescent="0.35">
      <c r="A383" t="s">
        <v>1102</v>
      </c>
      <c r="B383" s="4" t="s">
        <v>442</v>
      </c>
      <c r="C383" s="4" t="s">
        <v>440</v>
      </c>
      <c r="D383" s="4" t="s">
        <v>376</v>
      </c>
      <c r="E383" s="4" t="s">
        <v>441</v>
      </c>
      <c r="F383" s="6">
        <v>0</v>
      </c>
      <c r="G383" s="6">
        <v>0</v>
      </c>
      <c r="H383" s="6">
        <f t="shared" si="20"/>
        <v>0</v>
      </c>
      <c r="I383" s="6">
        <f t="shared" si="21"/>
        <v>0</v>
      </c>
      <c r="J383" t="s">
        <v>1710</v>
      </c>
    </row>
    <row r="384" spans="1:10" x14ac:dyDescent="0.35">
      <c r="A384" t="s">
        <v>1103</v>
      </c>
      <c r="B384" s="4" t="s">
        <v>443</v>
      </c>
      <c r="C384" s="4" t="s">
        <v>444</v>
      </c>
      <c r="D384" s="4" t="s">
        <v>376</v>
      </c>
      <c r="E384" s="4" t="s">
        <v>445</v>
      </c>
      <c r="F384" s="6">
        <v>35.65</v>
      </c>
      <c r="G384" s="6">
        <v>0</v>
      </c>
      <c r="H384" s="6">
        <f t="shared" si="20"/>
        <v>49.91</v>
      </c>
      <c r="I384" s="6">
        <f t="shared" si="21"/>
        <v>49.91</v>
      </c>
      <c r="J384" t="s">
        <v>1711</v>
      </c>
    </row>
    <row r="385" spans="1:10" x14ac:dyDescent="0.35">
      <c r="A385" t="s">
        <v>1104</v>
      </c>
      <c r="B385" s="4" t="s">
        <v>446</v>
      </c>
      <c r="C385" s="4" t="s">
        <v>447</v>
      </c>
      <c r="D385" s="4" t="s">
        <v>376</v>
      </c>
      <c r="E385" s="4" t="s">
        <v>448</v>
      </c>
      <c r="F385" s="6">
        <v>51.23</v>
      </c>
      <c r="G385" s="6">
        <v>0</v>
      </c>
      <c r="H385" s="6">
        <f t="shared" si="20"/>
        <v>71.721999999999994</v>
      </c>
      <c r="I385" s="6">
        <f t="shared" si="21"/>
        <v>71.721999999999994</v>
      </c>
      <c r="J385" t="s">
        <v>1712</v>
      </c>
    </row>
    <row r="386" spans="1:10" x14ac:dyDescent="0.35">
      <c r="A386" t="s">
        <v>1105</v>
      </c>
      <c r="B386" s="4" t="s">
        <v>449</v>
      </c>
      <c r="C386" s="4" t="s">
        <v>447</v>
      </c>
      <c r="D386" s="4" t="s">
        <v>376</v>
      </c>
      <c r="E386" s="4" t="s">
        <v>448</v>
      </c>
      <c r="F386" s="6">
        <v>49.43</v>
      </c>
      <c r="G386" s="6">
        <v>0</v>
      </c>
      <c r="H386" s="6">
        <f t="shared" si="20"/>
        <v>69.201999999999998</v>
      </c>
      <c r="I386" s="6">
        <f t="shared" si="21"/>
        <v>69.201999999999998</v>
      </c>
      <c r="J386" t="s">
        <v>1713</v>
      </c>
    </row>
    <row r="387" spans="1:10" x14ac:dyDescent="0.35">
      <c r="A387" t="s">
        <v>1106</v>
      </c>
      <c r="B387" s="4" t="s">
        <v>450</v>
      </c>
      <c r="C387" s="4" t="s">
        <v>451</v>
      </c>
      <c r="D387" s="4" t="s">
        <v>376</v>
      </c>
      <c r="E387" s="4" t="s">
        <v>445</v>
      </c>
      <c r="F387" s="6">
        <v>22.81</v>
      </c>
      <c r="G387" s="6">
        <v>0</v>
      </c>
      <c r="H387" s="6">
        <f t="shared" si="20"/>
        <v>31.933999999999997</v>
      </c>
      <c r="I387" s="6">
        <f t="shared" si="21"/>
        <v>31.933999999999997</v>
      </c>
      <c r="J387" t="s">
        <v>1714</v>
      </c>
    </row>
    <row r="388" spans="1:10" x14ac:dyDescent="0.35">
      <c r="A388" t="s">
        <v>1107</v>
      </c>
      <c r="B388" s="4" t="s">
        <v>452</v>
      </c>
      <c r="C388" s="4" t="s">
        <v>453</v>
      </c>
      <c r="D388" s="4" t="s">
        <v>376</v>
      </c>
      <c r="E388" s="4" t="s">
        <v>441</v>
      </c>
      <c r="F388" s="6">
        <v>38.5</v>
      </c>
      <c r="G388" s="6">
        <v>0</v>
      </c>
      <c r="H388" s="6">
        <f t="shared" si="20"/>
        <v>53.9</v>
      </c>
      <c r="I388" s="6">
        <f t="shared" si="21"/>
        <v>53.9</v>
      </c>
      <c r="J388" t="s">
        <v>1715</v>
      </c>
    </row>
    <row r="389" spans="1:10" x14ac:dyDescent="0.35">
      <c r="A389" t="s">
        <v>1108</v>
      </c>
      <c r="B389" s="4" t="s">
        <v>454</v>
      </c>
      <c r="C389" s="4" t="s">
        <v>455</v>
      </c>
      <c r="D389" s="4" t="s">
        <v>376</v>
      </c>
      <c r="E389" s="4" t="s">
        <v>456</v>
      </c>
      <c r="F389" s="6">
        <v>65.33</v>
      </c>
      <c r="G389" s="6">
        <v>0</v>
      </c>
      <c r="H389" s="6">
        <f t="shared" si="20"/>
        <v>91.462000000000003</v>
      </c>
      <c r="I389" s="6">
        <f t="shared" si="21"/>
        <v>91.462000000000003</v>
      </c>
      <c r="J389" t="s">
        <v>1716</v>
      </c>
    </row>
    <row r="390" spans="1:10" x14ac:dyDescent="0.35">
      <c r="A390" t="s">
        <v>1109</v>
      </c>
      <c r="B390" s="4" t="s">
        <v>457</v>
      </c>
      <c r="C390" s="4" t="s">
        <v>455</v>
      </c>
      <c r="D390" s="4" t="s">
        <v>376</v>
      </c>
      <c r="E390" s="4" t="s">
        <v>456</v>
      </c>
      <c r="F390" s="6">
        <v>90.76</v>
      </c>
      <c r="G390" s="6">
        <v>0</v>
      </c>
      <c r="H390" s="6">
        <f t="shared" si="20"/>
        <v>127.06400000000001</v>
      </c>
      <c r="I390" s="6">
        <f t="shared" si="21"/>
        <v>127.06400000000001</v>
      </c>
      <c r="J390" t="s">
        <v>1717</v>
      </c>
    </row>
    <row r="391" spans="1:10" x14ac:dyDescent="0.35">
      <c r="A391" t="s">
        <v>1110</v>
      </c>
      <c r="B391" s="4" t="s">
        <v>458</v>
      </c>
      <c r="C391" s="4" t="s">
        <v>455</v>
      </c>
      <c r="D391" s="4" t="s">
        <v>376</v>
      </c>
      <c r="E391" s="4" t="s">
        <v>456</v>
      </c>
      <c r="F391" s="6">
        <v>46.73</v>
      </c>
      <c r="G391" s="6">
        <v>0</v>
      </c>
      <c r="H391" s="6">
        <f t="shared" si="20"/>
        <v>65.421999999999997</v>
      </c>
      <c r="I391" s="6">
        <f t="shared" si="21"/>
        <v>65.421999999999997</v>
      </c>
      <c r="J391" t="s">
        <v>1718</v>
      </c>
    </row>
    <row r="392" spans="1:10" x14ac:dyDescent="0.35">
      <c r="A392" t="s">
        <v>1111</v>
      </c>
      <c r="B392" s="4" t="s">
        <v>459</v>
      </c>
      <c r="C392" s="4" t="s">
        <v>460</v>
      </c>
      <c r="D392" s="4" t="s">
        <v>376</v>
      </c>
      <c r="E392" s="4" t="s">
        <v>456</v>
      </c>
      <c r="F392" s="6">
        <v>95.68</v>
      </c>
      <c r="G392" s="6">
        <v>0</v>
      </c>
      <c r="H392" s="6">
        <f t="shared" si="20"/>
        <v>133.952</v>
      </c>
      <c r="I392" s="6">
        <f t="shared" si="21"/>
        <v>133.952</v>
      </c>
      <c r="J392" t="s">
        <v>1719</v>
      </c>
    </row>
    <row r="393" spans="1:10" x14ac:dyDescent="0.35">
      <c r="A393" t="s">
        <v>1112</v>
      </c>
      <c r="B393" s="4" t="s">
        <v>461</v>
      </c>
      <c r="C393" s="4" t="s">
        <v>460</v>
      </c>
      <c r="D393" s="4" t="s">
        <v>376</v>
      </c>
      <c r="E393" s="4" t="s">
        <v>456</v>
      </c>
      <c r="F393" s="6">
        <v>63.05</v>
      </c>
      <c r="G393" s="6">
        <v>0</v>
      </c>
      <c r="H393" s="6">
        <f t="shared" si="20"/>
        <v>88.27</v>
      </c>
      <c r="I393" s="6">
        <f t="shared" si="21"/>
        <v>88.27</v>
      </c>
      <c r="J393" t="s">
        <v>1720</v>
      </c>
    </row>
    <row r="394" spans="1:10" x14ac:dyDescent="0.35">
      <c r="A394" t="s">
        <v>1113</v>
      </c>
      <c r="B394" s="4" t="s">
        <v>462</v>
      </c>
      <c r="C394" s="4" t="s">
        <v>460</v>
      </c>
      <c r="D394" s="4" t="s">
        <v>376</v>
      </c>
      <c r="E394" s="4" t="s">
        <v>456</v>
      </c>
      <c r="F394" s="6">
        <v>66.599999999999994</v>
      </c>
      <c r="G394" s="6">
        <v>0</v>
      </c>
      <c r="H394" s="6">
        <f t="shared" si="20"/>
        <v>93.24</v>
      </c>
      <c r="I394" s="6">
        <f t="shared" si="21"/>
        <v>93.24</v>
      </c>
      <c r="J394" t="s">
        <v>1721</v>
      </c>
    </row>
    <row r="395" spans="1:10" x14ac:dyDescent="0.35">
      <c r="A395" t="s">
        <v>1114</v>
      </c>
      <c r="B395" s="4" t="s">
        <v>463</v>
      </c>
      <c r="C395" s="4" t="s">
        <v>460</v>
      </c>
      <c r="D395" s="4" t="s">
        <v>376</v>
      </c>
      <c r="E395" s="4" t="s">
        <v>456</v>
      </c>
      <c r="F395" s="6">
        <v>110</v>
      </c>
      <c r="G395" s="6">
        <v>0</v>
      </c>
      <c r="H395" s="6">
        <f t="shared" si="20"/>
        <v>154</v>
      </c>
      <c r="I395" s="6">
        <f t="shared" si="21"/>
        <v>154</v>
      </c>
      <c r="J395" t="s">
        <v>1722</v>
      </c>
    </row>
    <row r="396" spans="1:10" x14ac:dyDescent="0.35">
      <c r="A396" t="s">
        <v>1115</v>
      </c>
      <c r="B396" s="4" t="s">
        <v>464</v>
      </c>
      <c r="C396" s="4" t="s">
        <v>460</v>
      </c>
      <c r="D396" s="4" t="s">
        <v>376</v>
      </c>
      <c r="E396" s="4" t="s">
        <v>456</v>
      </c>
      <c r="F396" s="6">
        <v>105</v>
      </c>
      <c r="G396" s="6">
        <v>0</v>
      </c>
      <c r="H396" s="6">
        <f t="shared" si="20"/>
        <v>147</v>
      </c>
      <c r="I396" s="6">
        <f t="shared" si="21"/>
        <v>147</v>
      </c>
      <c r="J396" t="s">
        <v>1723</v>
      </c>
    </row>
    <row r="397" spans="1:10" x14ac:dyDescent="0.35">
      <c r="A397" t="s">
        <v>1116</v>
      </c>
      <c r="B397" s="4" t="s">
        <v>465</v>
      </c>
      <c r="C397" s="4" t="s">
        <v>466</v>
      </c>
      <c r="D397" s="4" t="s">
        <v>376</v>
      </c>
      <c r="E397" s="4" t="s">
        <v>456</v>
      </c>
      <c r="F397" s="6">
        <v>63</v>
      </c>
      <c r="G397" s="6">
        <v>0</v>
      </c>
      <c r="H397" s="6">
        <f t="shared" si="20"/>
        <v>88.2</v>
      </c>
      <c r="I397" s="6">
        <f t="shared" si="21"/>
        <v>88.2</v>
      </c>
      <c r="J397" t="s">
        <v>1724</v>
      </c>
    </row>
    <row r="398" spans="1:10" x14ac:dyDescent="0.35">
      <c r="A398" t="s">
        <v>1117</v>
      </c>
      <c r="B398" s="4" t="s">
        <v>467</v>
      </c>
      <c r="C398" s="4" t="s">
        <v>466</v>
      </c>
      <c r="D398" s="4" t="s">
        <v>376</v>
      </c>
      <c r="E398" s="4" t="s">
        <v>456</v>
      </c>
      <c r="F398" s="6">
        <v>105</v>
      </c>
      <c r="G398" s="6">
        <v>0</v>
      </c>
      <c r="H398" s="6">
        <f t="shared" si="20"/>
        <v>147</v>
      </c>
      <c r="I398" s="6">
        <f t="shared" si="21"/>
        <v>147</v>
      </c>
      <c r="J398" t="s">
        <v>1725</v>
      </c>
    </row>
    <row r="399" spans="1:10" x14ac:dyDescent="0.35">
      <c r="A399" t="s">
        <v>1118</v>
      </c>
      <c r="B399" s="4" t="s">
        <v>468</v>
      </c>
      <c r="C399" s="4" t="s">
        <v>466</v>
      </c>
      <c r="D399" s="4" t="s">
        <v>376</v>
      </c>
      <c r="E399" s="4" t="s">
        <v>456</v>
      </c>
      <c r="F399" s="6">
        <v>144</v>
      </c>
      <c r="G399" s="6">
        <v>0</v>
      </c>
      <c r="H399" s="6">
        <f t="shared" si="20"/>
        <v>201.6</v>
      </c>
      <c r="I399" s="6">
        <f t="shared" si="21"/>
        <v>201.6</v>
      </c>
      <c r="J399" t="s">
        <v>1726</v>
      </c>
    </row>
    <row r="400" spans="1:10" x14ac:dyDescent="0.35">
      <c r="A400" t="s">
        <v>1119</v>
      </c>
      <c r="B400" s="4" t="s">
        <v>469</v>
      </c>
      <c r="C400" s="4" t="s">
        <v>466</v>
      </c>
      <c r="D400" s="4" t="s">
        <v>376</v>
      </c>
      <c r="E400" s="4" t="s">
        <v>456</v>
      </c>
      <c r="F400" s="6">
        <v>56.25</v>
      </c>
      <c r="G400" s="6">
        <v>0</v>
      </c>
      <c r="H400" s="6">
        <f t="shared" si="20"/>
        <v>78.75</v>
      </c>
      <c r="I400" s="6">
        <f t="shared" si="21"/>
        <v>78.75</v>
      </c>
      <c r="J400" t="s">
        <v>1727</v>
      </c>
    </row>
    <row r="401" spans="1:10" x14ac:dyDescent="0.35">
      <c r="A401" t="s">
        <v>1120</v>
      </c>
      <c r="B401" s="4" t="s">
        <v>470</v>
      </c>
      <c r="C401" s="4" t="s">
        <v>471</v>
      </c>
      <c r="D401" s="4" t="s">
        <v>376</v>
      </c>
      <c r="E401" s="4" t="s">
        <v>456</v>
      </c>
      <c r="F401" s="6">
        <v>72</v>
      </c>
      <c r="G401" s="6">
        <v>0</v>
      </c>
      <c r="H401" s="6">
        <f t="shared" si="20"/>
        <v>100.8</v>
      </c>
      <c r="I401" s="6">
        <f t="shared" si="21"/>
        <v>100.8</v>
      </c>
      <c r="J401" t="s">
        <v>1728</v>
      </c>
    </row>
    <row r="402" spans="1:10" x14ac:dyDescent="0.35">
      <c r="A402" t="s">
        <v>1121</v>
      </c>
      <c r="B402" s="4" t="s">
        <v>472</v>
      </c>
      <c r="C402" s="4" t="s">
        <v>473</v>
      </c>
      <c r="D402" s="4" t="s">
        <v>376</v>
      </c>
      <c r="E402" s="4" t="s">
        <v>456</v>
      </c>
      <c r="F402" s="6">
        <v>69.3</v>
      </c>
      <c r="G402" s="6">
        <v>0</v>
      </c>
      <c r="H402" s="6">
        <f t="shared" si="20"/>
        <v>97.02</v>
      </c>
      <c r="I402" s="6">
        <f t="shared" si="21"/>
        <v>97.02</v>
      </c>
      <c r="J402" t="s">
        <v>1729</v>
      </c>
    </row>
    <row r="403" spans="1:10" x14ac:dyDescent="0.35">
      <c r="A403" t="s">
        <v>1122</v>
      </c>
      <c r="B403" s="4" t="s">
        <v>474</v>
      </c>
      <c r="C403" s="4" t="s">
        <v>475</v>
      </c>
      <c r="D403" s="4" t="s">
        <v>376</v>
      </c>
      <c r="E403" s="4" t="s">
        <v>456</v>
      </c>
      <c r="F403" s="6">
        <v>20</v>
      </c>
      <c r="G403" s="6">
        <v>0</v>
      </c>
      <c r="H403" s="6">
        <f t="shared" si="20"/>
        <v>28</v>
      </c>
      <c r="I403" s="6">
        <f t="shared" si="21"/>
        <v>28</v>
      </c>
      <c r="J403" t="s">
        <v>1730</v>
      </c>
    </row>
    <row r="404" spans="1:10" x14ac:dyDescent="0.35">
      <c r="A404" t="s">
        <v>1123</v>
      </c>
      <c r="B404" s="4" t="s">
        <v>476</v>
      </c>
      <c r="C404" s="4" t="s">
        <v>477</v>
      </c>
      <c r="D404" s="4" t="s">
        <v>376</v>
      </c>
      <c r="E404" s="4" t="s">
        <v>400</v>
      </c>
      <c r="F404" s="6">
        <v>88</v>
      </c>
      <c r="G404" s="6">
        <v>0</v>
      </c>
      <c r="H404" s="6">
        <f t="shared" si="20"/>
        <v>123.2</v>
      </c>
      <c r="I404" s="6">
        <f t="shared" si="21"/>
        <v>123.2</v>
      </c>
      <c r="J404" t="s">
        <v>1731</v>
      </c>
    </row>
    <row r="405" spans="1:10" x14ac:dyDescent="0.35">
      <c r="A405" t="s">
        <v>1124</v>
      </c>
      <c r="B405" s="4" t="s">
        <v>478</v>
      </c>
      <c r="C405" s="4" t="s">
        <v>477</v>
      </c>
      <c r="D405" s="4" t="s">
        <v>376</v>
      </c>
      <c r="E405" s="4" t="s">
        <v>400</v>
      </c>
      <c r="F405" s="6">
        <v>88</v>
      </c>
      <c r="G405" s="6">
        <v>0</v>
      </c>
      <c r="H405" s="6">
        <f t="shared" si="20"/>
        <v>123.2</v>
      </c>
      <c r="I405" s="6">
        <f t="shared" si="21"/>
        <v>123.2</v>
      </c>
      <c r="J405" t="s">
        <v>1732</v>
      </c>
    </row>
    <row r="406" spans="1:10" x14ac:dyDescent="0.35">
      <c r="A406" t="s">
        <v>1125</v>
      </c>
      <c r="B406" s="4" t="s">
        <v>479</v>
      </c>
      <c r="C406" s="4" t="s">
        <v>477</v>
      </c>
      <c r="D406" s="4" t="s">
        <v>376</v>
      </c>
      <c r="E406" s="4" t="s">
        <v>400</v>
      </c>
      <c r="F406" s="6">
        <v>88</v>
      </c>
      <c r="G406" s="6">
        <v>0</v>
      </c>
      <c r="H406" s="6">
        <f t="shared" si="20"/>
        <v>123.2</v>
      </c>
      <c r="I406" s="6">
        <f t="shared" si="21"/>
        <v>123.2</v>
      </c>
      <c r="J406" t="s">
        <v>1733</v>
      </c>
    </row>
    <row r="407" spans="1:10" x14ac:dyDescent="0.35">
      <c r="A407" t="s">
        <v>1126</v>
      </c>
      <c r="B407" s="4" t="s">
        <v>480</v>
      </c>
      <c r="C407" s="4" t="s">
        <v>477</v>
      </c>
      <c r="D407" s="4" t="s">
        <v>376</v>
      </c>
      <c r="E407" s="4" t="s">
        <v>400</v>
      </c>
      <c r="F407" s="6">
        <v>73.5</v>
      </c>
      <c r="G407" s="6">
        <v>0</v>
      </c>
      <c r="H407" s="6">
        <f t="shared" si="20"/>
        <v>102.9</v>
      </c>
      <c r="I407" s="6">
        <f t="shared" si="21"/>
        <v>102.9</v>
      </c>
      <c r="J407" t="s">
        <v>1734</v>
      </c>
    </row>
    <row r="408" spans="1:10" x14ac:dyDescent="0.35">
      <c r="A408" t="s">
        <v>1127</v>
      </c>
      <c r="B408" s="4" t="s">
        <v>481</v>
      </c>
      <c r="C408" s="4" t="s">
        <v>477</v>
      </c>
      <c r="D408" s="4" t="s">
        <v>376</v>
      </c>
      <c r="E408" s="4" t="s">
        <v>400</v>
      </c>
      <c r="F408" s="6">
        <v>88</v>
      </c>
      <c r="G408" s="6">
        <v>0</v>
      </c>
      <c r="H408" s="6">
        <f t="shared" si="20"/>
        <v>123.2</v>
      </c>
      <c r="I408" s="6">
        <f t="shared" si="21"/>
        <v>123.2</v>
      </c>
      <c r="J408" t="s">
        <v>1735</v>
      </c>
    </row>
    <row r="409" spans="1:10" x14ac:dyDescent="0.35">
      <c r="A409" t="s">
        <v>1128</v>
      </c>
      <c r="B409" s="4" t="s">
        <v>482</v>
      </c>
      <c r="C409" s="4" t="s">
        <v>477</v>
      </c>
      <c r="D409" s="4" t="s">
        <v>376</v>
      </c>
      <c r="E409" s="4" t="s">
        <v>483</v>
      </c>
      <c r="F409" s="6">
        <v>83.2</v>
      </c>
      <c r="G409" s="6">
        <v>0</v>
      </c>
      <c r="H409" s="6">
        <f t="shared" si="20"/>
        <v>116.48</v>
      </c>
      <c r="I409" s="6">
        <f t="shared" si="21"/>
        <v>116.48</v>
      </c>
      <c r="J409" t="s">
        <v>1736</v>
      </c>
    </row>
    <row r="410" spans="1:10" x14ac:dyDescent="0.35">
      <c r="A410" t="s">
        <v>1129</v>
      </c>
      <c r="B410" s="4" t="s">
        <v>484</v>
      </c>
      <c r="C410" s="4" t="s">
        <v>477</v>
      </c>
      <c r="D410" s="4" t="s">
        <v>376</v>
      </c>
      <c r="E410" s="4" t="s">
        <v>483</v>
      </c>
      <c r="F410" s="6">
        <v>83.2</v>
      </c>
      <c r="G410" s="6">
        <v>0</v>
      </c>
      <c r="H410" s="6">
        <f t="shared" si="20"/>
        <v>116.48</v>
      </c>
      <c r="I410" s="6">
        <f t="shared" si="21"/>
        <v>116.48</v>
      </c>
      <c r="J410" t="s">
        <v>1737</v>
      </c>
    </row>
    <row r="411" spans="1:10" x14ac:dyDescent="0.35">
      <c r="A411" t="s">
        <v>1130</v>
      </c>
      <c r="B411" s="4" t="s">
        <v>485</v>
      </c>
      <c r="C411" s="4" t="s">
        <v>477</v>
      </c>
      <c r="D411" s="4" t="s">
        <v>376</v>
      </c>
      <c r="E411" s="4" t="s">
        <v>483</v>
      </c>
      <c r="F411" s="6">
        <v>83.2</v>
      </c>
      <c r="G411" s="6">
        <v>0</v>
      </c>
      <c r="H411" s="6">
        <f t="shared" si="20"/>
        <v>116.48</v>
      </c>
      <c r="I411" s="6">
        <f t="shared" si="21"/>
        <v>116.48</v>
      </c>
      <c r="J411" t="s">
        <v>1738</v>
      </c>
    </row>
    <row r="412" spans="1:10" x14ac:dyDescent="0.35">
      <c r="A412" t="s">
        <v>1131</v>
      </c>
      <c r="B412" s="4" t="s">
        <v>486</v>
      </c>
      <c r="C412" s="4" t="s">
        <v>477</v>
      </c>
      <c r="D412" s="4" t="s">
        <v>376</v>
      </c>
      <c r="E412" s="4" t="s">
        <v>483</v>
      </c>
      <c r="F412" s="6">
        <v>49.85</v>
      </c>
      <c r="G412" s="6">
        <v>0</v>
      </c>
      <c r="H412" s="6">
        <f t="shared" si="20"/>
        <v>69.790000000000006</v>
      </c>
      <c r="I412" s="6">
        <f t="shared" si="21"/>
        <v>69.790000000000006</v>
      </c>
      <c r="J412" t="s">
        <v>1739</v>
      </c>
    </row>
    <row r="413" spans="1:10" x14ac:dyDescent="0.35">
      <c r="A413" t="s">
        <v>1132</v>
      </c>
      <c r="B413" s="4" t="s">
        <v>487</v>
      </c>
      <c r="C413" s="4" t="s">
        <v>477</v>
      </c>
      <c r="D413" s="4" t="s">
        <v>376</v>
      </c>
      <c r="E413" s="4" t="s">
        <v>483</v>
      </c>
      <c r="F413" s="6">
        <v>79.53</v>
      </c>
      <c r="G413" s="6">
        <v>0</v>
      </c>
      <c r="H413" s="6">
        <f t="shared" si="20"/>
        <v>111.342</v>
      </c>
      <c r="I413" s="6">
        <f t="shared" si="21"/>
        <v>111.342</v>
      </c>
      <c r="J413" t="s">
        <v>1740</v>
      </c>
    </row>
    <row r="414" spans="1:10" x14ac:dyDescent="0.35">
      <c r="A414" t="s">
        <v>1133</v>
      </c>
      <c r="B414" s="4" t="s">
        <v>488</v>
      </c>
      <c r="C414" s="4" t="s">
        <v>477</v>
      </c>
      <c r="D414" s="4" t="s">
        <v>376</v>
      </c>
      <c r="E414" s="4" t="s">
        <v>483</v>
      </c>
      <c r="F414" s="6">
        <v>72.41</v>
      </c>
      <c r="G414" s="6">
        <v>0</v>
      </c>
      <c r="H414" s="6">
        <f t="shared" si="20"/>
        <v>101.374</v>
      </c>
      <c r="I414" s="6">
        <f t="shared" si="21"/>
        <v>101.374</v>
      </c>
      <c r="J414" t="s">
        <v>1741</v>
      </c>
    </row>
    <row r="415" spans="1:10" x14ac:dyDescent="0.35">
      <c r="A415" t="s">
        <v>1134</v>
      </c>
      <c r="B415" s="4" t="s">
        <v>489</v>
      </c>
      <c r="C415" s="4" t="s">
        <v>477</v>
      </c>
      <c r="D415" s="4" t="s">
        <v>376</v>
      </c>
      <c r="E415" s="4" t="s">
        <v>483</v>
      </c>
      <c r="F415" s="6">
        <v>48.68</v>
      </c>
      <c r="G415" s="6">
        <v>0</v>
      </c>
      <c r="H415" s="6">
        <f t="shared" si="20"/>
        <v>68.152000000000001</v>
      </c>
      <c r="I415" s="6">
        <f t="shared" si="21"/>
        <v>68.152000000000001</v>
      </c>
      <c r="J415" t="s">
        <v>1742</v>
      </c>
    </row>
    <row r="416" spans="1:10" x14ac:dyDescent="0.35">
      <c r="A416" t="s">
        <v>1135</v>
      </c>
      <c r="B416" s="4" t="s">
        <v>490</v>
      </c>
      <c r="C416" s="4" t="s">
        <v>477</v>
      </c>
      <c r="D416" s="4" t="s">
        <v>376</v>
      </c>
      <c r="E416" s="4" t="s">
        <v>483</v>
      </c>
      <c r="F416" s="6">
        <v>36</v>
      </c>
      <c r="G416" s="6">
        <v>0</v>
      </c>
      <c r="H416" s="6">
        <f t="shared" si="20"/>
        <v>50.4</v>
      </c>
      <c r="I416" s="6">
        <f t="shared" si="21"/>
        <v>50.4</v>
      </c>
      <c r="J416" t="s">
        <v>1743</v>
      </c>
    </row>
    <row r="417" spans="1:10" x14ac:dyDescent="0.35">
      <c r="A417" t="s">
        <v>1136</v>
      </c>
      <c r="B417" s="4" t="s">
        <v>491</v>
      </c>
      <c r="C417" s="4" t="s">
        <v>477</v>
      </c>
      <c r="D417" s="4" t="s">
        <v>376</v>
      </c>
      <c r="E417" s="4" t="s">
        <v>483</v>
      </c>
      <c r="F417" s="6">
        <v>62.58</v>
      </c>
      <c r="G417" s="6">
        <v>0</v>
      </c>
      <c r="H417" s="6">
        <f t="shared" si="20"/>
        <v>87.611999999999995</v>
      </c>
      <c r="I417" s="6">
        <f t="shared" si="21"/>
        <v>87.611999999999995</v>
      </c>
      <c r="J417" t="s">
        <v>1744</v>
      </c>
    </row>
    <row r="418" spans="1:10" x14ac:dyDescent="0.35">
      <c r="A418" t="s">
        <v>1137</v>
      </c>
      <c r="B418" s="4" t="s">
        <v>492</v>
      </c>
      <c r="C418" s="4" t="s">
        <v>477</v>
      </c>
      <c r="D418" s="4" t="s">
        <v>376</v>
      </c>
      <c r="E418" s="4" t="s">
        <v>483</v>
      </c>
      <c r="F418" s="6">
        <v>72.41</v>
      </c>
      <c r="G418" s="6">
        <v>0</v>
      </c>
      <c r="H418" s="6">
        <f t="shared" si="20"/>
        <v>101.374</v>
      </c>
      <c r="I418" s="6">
        <f t="shared" si="21"/>
        <v>101.374</v>
      </c>
      <c r="J418" t="s">
        <v>1745</v>
      </c>
    </row>
    <row r="419" spans="1:10" x14ac:dyDescent="0.35">
      <c r="A419" t="s">
        <v>1138</v>
      </c>
      <c r="B419" s="4" t="s">
        <v>493</v>
      </c>
      <c r="C419" s="4" t="s">
        <v>477</v>
      </c>
      <c r="D419" s="4" t="s">
        <v>376</v>
      </c>
      <c r="E419" s="4" t="s">
        <v>483</v>
      </c>
      <c r="F419" s="6">
        <v>48.66</v>
      </c>
      <c r="G419" s="6">
        <v>0</v>
      </c>
      <c r="H419" s="6">
        <f t="shared" si="20"/>
        <v>68.123999999999995</v>
      </c>
      <c r="I419" s="6">
        <f t="shared" si="21"/>
        <v>68.123999999999995</v>
      </c>
      <c r="J419" t="s">
        <v>1746</v>
      </c>
    </row>
    <row r="420" spans="1:10" x14ac:dyDescent="0.35">
      <c r="A420" t="s">
        <v>1139</v>
      </c>
      <c r="B420" s="4" t="s">
        <v>494</v>
      </c>
      <c r="C420" s="4" t="s">
        <v>477</v>
      </c>
      <c r="D420" s="4" t="s">
        <v>376</v>
      </c>
      <c r="E420" s="4" t="s">
        <v>483</v>
      </c>
      <c r="F420" s="6">
        <v>106.82</v>
      </c>
      <c r="G420" s="6">
        <v>0</v>
      </c>
      <c r="H420" s="6">
        <f t="shared" si="20"/>
        <v>149.548</v>
      </c>
      <c r="I420" s="6">
        <f t="shared" si="21"/>
        <v>149.548</v>
      </c>
      <c r="J420" t="s">
        <v>1747</v>
      </c>
    </row>
    <row r="421" spans="1:10" x14ac:dyDescent="0.35">
      <c r="A421" t="s">
        <v>1140</v>
      </c>
      <c r="B421" s="4" t="s">
        <v>495</v>
      </c>
      <c r="C421" s="4" t="s">
        <v>477</v>
      </c>
      <c r="D421" s="4" t="s">
        <v>376</v>
      </c>
      <c r="E421" s="4" t="s">
        <v>483</v>
      </c>
      <c r="F421" s="6">
        <v>62.58</v>
      </c>
      <c r="G421" s="6">
        <v>0</v>
      </c>
      <c r="H421" s="6">
        <f t="shared" si="20"/>
        <v>87.611999999999995</v>
      </c>
      <c r="I421" s="6">
        <f t="shared" si="21"/>
        <v>87.611999999999995</v>
      </c>
      <c r="J421" t="s">
        <v>1748</v>
      </c>
    </row>
    <row r="422" spans="1:10" x14ac:dyDescent="0.35">
      <c r="A422" t="s">
        <v>1141</v>
      </c>
      <c r="B422" s="4" t="s">
        <v>496</v>
      </c>
      <c r="C422" s="4" t="s">
        <v>477</v>
      </c>
      <c r="D422" s="4" t="s">
        <v>376</v>
      </c>
      <c r="E422" s="4" t="s">
        <v>483</v>
      </c>
      <c r="F422" s="6">
        <v>79.53</v>
      </c>
      <c r="G422" s="6">
        <v>0</v>
      </c>
      <c r="H422" s="6">
        <f t="shared" si="20"/>
        <v>111.342</v>
      </c>
      <c r="I422" s="6">
        <f t="shared" si="21"/>
        <v>111.342</v>
      </c>
      <c r="J422" t="s">
        <v>1749</v>
      </c>
    </row>
    <row r="423" spans="1:10" x14ac:dyDescent="0.35">
      <c r="A423" t="s">
        <v>1142</v>
      </c>
      <c r="B423" s="4" t="s">
        <v>497</v>
      </c>
      <c r="C423" s="4" t="s">
        <v>477</v>
      </c>
      <c r="D423" s="4" t="s">
        <v>376</v>
      </c>
      <c r="E423" s="4" t="s">
        <v>483</v>
      </c>
      <c r="F423" s="6">
        <v>35</v>
      </c>
      <c r="G423" s="6">
        <v>0</v>
      </c>
      <c r="H423" s="6">
        <f t="shared" si="20"/>
        <v>49</v>
      </c>
      <c r="I423" s="6">
        <f t="shared" si="21"/>
        <v>49</v>
      </c>
      <c r="J423" t="s">
        <v>1750</v>
      </c>
    </row>
    <row r="424" spans="1:10" x14ac:dyDescent="0.35">
      <c r="A424" t="s">
        <v>1143</v>
      </c>
      <c r="B424" s="4" t="s">
        <v>498</v>
      </c>
      <c r="C424" s="4" t="s">
        <v>477</v>
      </c>
      <c r="D424" s="4" t="s">
        <v>376</v>
      </c>
      <c r="E424" s="4" t="s">
        <v>483</v>
      </c>
      <c r="F424" s="6">
        <v>35</v>
      </c>
      <c r="G424" s="6">
        <v>0</v>
      </c>
      <c r="H424" s="6">
        <f t="shared" si="20"/>
        <v>49</v>
      </c>
      <c r="I424" s="6">
        <f t="shared" si="21"/>
        <v>49</v>
      </c>
      <c r="J424" t="s">
        <v>1751</v>
      </c>
    </row>
    <row r="425" spans="1:10" x14ac:dyDescent="0.35">
      <c r="A425" t="s">
        <v>1144</v>
      </c>
      <c r="B425" s="4" t="s">
        <v>499</v>
      </c>
      <c r="C425" s="4" t="s">
        <v>477</v>
      </c>
      <c r="D425" s="4" t="s">
        <v>376</v>
      </c>
      <c r="E425" s="4" t="s">
        <v>483</v>
      </c>
      <c r="F425" s="6">
        <v>36</v>
      </c>
      <c r="G425" s="6">
        <v>0</v>
      </c>
      <c r="H425" s="6">
        <f t="shared" si="20"/>
        <v>50.4</v>
      </c>
      <c r="I425" s="6">
        <f t="shared" si="21"/>
        <v>50.4</v>
      </c>
      <c r="J425" t="s">
        <v>1752</v>
      </c>
    </row>
    <row r="426" spans="1:10" x14ac:dyDescent="0.35">
      <c r="A426" t="s">
        <v>1145</v>
      </c>
      <c r="B426" s="4" t="s">
        <v>500</v>
      </c>
      <c r="C426" s="4" t="s">
        <v>477</v>
      </c>
      <c r="D426" s="4" t="s">
        <v>376</v>
      </c>
      <c r="E426" s="4" t="s">
        <v>377</v>
      </c>
      <c r="F426" s="6">
        <v>30</v>
      </c>
      <c r="G426" s="6">
        <v>0</v>
      </c>
      <c r="H426" s="6">
        <f t="shared" si="20"/>
        <v>42</v>
      </c>
      <c r="I426" s="6">
        <f t="shared" si="21"/>
        <v>42</v>
      </c>
      <c r="J426" t="s">
        <v>1753</v>
      </c>
    </row>
    <row r="427" spans="1:10" x14ac:dyDescent="0.35">
      <c r="A427" t="s">
        <v>1146</v>
      </c>
      <c r="B427" s="4" t="s">
        <v>501</v>
      </c>
      <c r="C427" s="4" t="s">
        <v>477</v>
      </c>
      <c r="D427" s="4" t="s">
        <v>376</v>
      </c>
      <c r="E427" s="4" t="s">
        <v>377</v>
      </c>
      <c r="F427" s="6">
        <v>36</v>
      </c>
      <c r="G427" s="6">
        <v>0</v>
      </c>
      <c r="H427" s="6">
        <f t="shared" si="20"/>
        <v>50.4</v>
      </c>
      <c r="I427" s="6">
        <f t="shared" si="21"/>
        <v>50.4</v>
      </c>
      <c r="J427" t="s">
        <v>1754</v>
      </c>
    </row>
    <row r="428" spans="1:10" x14ac:dyDescent="0.35">
      <c r="A428" t="s">
        <v>1147</v>
      </c>
      <c r="B428" s="4" t="s">
        <v>502</v>
      </c>
      <c r="C428" s="4" t="s">
        <v>477</v>
      </c>
      <c r="D428" s="4" t="s">
        <v>376</v>
      </c>
      <c r="E428" s="4" t="s">
        <v>503</v>
      </c>
      <c r="F428" s="6">
        <v>29.92</v>
      </c>
      <c r="G428" s="6">
        <v>0</v>
      </c>
      <c r="H428" s="6">
        <f t="shared" si="20"/>
        <v>41.888000000000005</v>
      </c>
      <c r="I428" s="6">
        <f t="shared" si="21"/>
        <v>41.888000000000005</v>
      </c>
      <c r="J428" t="s">
        <v>1755</v>
      </c>
    </row>
    <row r="429" spans="1:10" x14ac:dyDescent="0.35">
      <c r="A429" t="s">
        <v>1148</v>
      </c>
      <c r="B429" s="4" t="s">
        <v>504</v>
      </c>
      <c r="C429" s="4" t="s">
        <v>477</v>
      </c>
      <c r="D429" s="4" t="s">
        <v>376</v>
      </c>
      <c r="E429" s="4" t="s">
        <v>503</v>
      </c>
      <c r="F429" s="6">
        <v>33.25</v>
      </c>
      <c r="G429" s="6">
        <v>0</v>
      </c>
      <c r="H429" s="6">
        <f t="shared" si="20"/>
        <v>46.55</v>
      </c>
      <c r="I429" s="6">
        <f t="shared" si="21"/>
        <v>46.55</v>
      </c>
      <c r="J429" t="s">
        <v>1756</v>
      </c>
    </row>
    <row r="430" spans="1:10" x14ac:dyDescent="0.35">
      <c r="A430" t="s">
        <v>1149</v>
      </c>
      <c r="B430" s="4" t="s">
        <v>505</v>
      </c>
      <c r="C430" s="4" t="s">
        <v>477</v>
      </c>
      <c r="D430" s="4" t="s">
        <v>376</v>
      </c>
      <c r="E430" s="4" t="s">
        <v>503</v>
      </c>
      <c r="F430" s="6">
        <v>29.92</v>
      </c>
      <c r="G430" s="6">
        <v>0</v>
      </c>
      <c r="H430" s="6">
        <f t="shared" si="20"/>
        <v>41.888000000000005</v>
      </c>
      <c r="I430" s="6">
        <f t="shared" si="21"/>
        <v>41.888000000000005</v>
      </c>
      <c r="J430" t="s">
        <v>1757</v>
      </c>
    </row>
    <row r="431" spans="1:10" x14ac:dyDescent="0.35">
      <c r="A431" t="s">
        <v>1150</v>
      </c>
      <c r="B431" s="4" t="s">
        <v>506</v>
      </c>
      <c r="C431" s="4" t="s">
        <v>477</v>
      </c>
      <c r="D431" s="4" t="s">
        <v>376</v>
      </c>
      <c r="E431" s="4" t="s">
        <v>503</v>
      </c>
      <c r="F431" s="6">
        <v>33.25</v>
      </c>
      <c r="G431" s="6">
        <v>0</v>
      </c>
      <c r="H431" s="6">
        <f t="shared" si="20"/>
        <v>46.55</v>
      </c>
      <c r="I431" s="6">
        <f t="shared" si="21"/>
        <v>46.55</v>
      </c>
      <c r="J431" t="s">
        <v>1758</v>
      </c>
    </row>
    <row r="432" spans="1:10" x14ac:dyDescent="0.35">
      <c r="A432" t="s">
        <v>1151</v>
      </c>
      <c r="B432" s="4" t="s">
        <v>507</v>
      </c>
      <c r="C432" s="4" t="s">
        <v>477</v>
      </c>
      <c r="D432" s="4" t="s">
        <v>376</v>
      </c>
      <c r="E432" s="4" t="s">
        <v>503</v>
      </c>
      <c r="F432" s="6">
        <v>6.23</v>
      </c>
      <c r="G432" s="6">
        <v>0</v>
      </c>
      <c r="H432" s="6">
        <f t="shared" si="20"/>
        <v>8.7220000000000013</v>
      </c>
      <c r="I432" s="6">
        <f t="shared" si="21"/>
        <v>8.7220000000000013</v>
      </c>
      <c r="J432" t="s">
        <v>1759</v>
      </c>
    </row>
    <row r="433" spans="1:10" x14ac:dyDescent="0.35">
      <c r="A433" t="s">
        <v>1152</v>
      </c>
      <c r="B433" s="4" t="s">
        <v>508</v>
      </c>
      <c r="C433" s="4" t="s">
        <v>477</v>
      </c>
      <c r="D433" s="4" t="s">
        <v>376</v>
      </c>
      <c r="E433" s="4" t="s">
        <v>503</v>
      </c>
      <c r="F433" s="6">
        <v>8.31</v>
      </c>
      <c r="G433" s="6">
        <v>0</v>
      </c>
      <c r="H433" s="6">
        <f t="shared" si="20"/>
        <v>11.634</v>
      </c>
      <c r="I433" s="6">
        <f t="shared" si="21"/>
        <v>11.634</v>
      </c>
      <c r="J433" t="s">
        <v>1760</v>
      </c>
    </row>
    <row r="434" spans="1:10" x14ac:dyDescent="0.35">
      <c r="A434" t="s">
        <v>1153</v>
      </c>
      <c r="B434" s="4" t="s">
        <v>509</v>
      </c>
      <c r="C434" s="4" t="s">
        <v>477</v>
      </c>
      <c r="D434" s="4" t="s">
        <v>376</v>
      </c>
      <c r="E434" s="4" t="s">
        <v>503</v>
      </c>
      <c r="F434" s="6">
        <v>8.31</v>
      </c>
      <c r="G434" s="6">
        <v>0</v>
      </c>
      <c r="H434" s="6">
        <f t="shared" si="20"/>
        <v>11.634</v>
      </c>
      <c r="I434" s="6">
        <f t="shared" si="21"/>
        <v>11.634</v>
      </c>
      <c r="J434" t="s">
        <v>1761</v>
      </c>
    </row>
    <row r="435" spans="1:10" x14ac:dyDescent="0.35">
      <c r="A435" t="s">
        <v>1154</v>
      </c>
      <c r="B435" s="4" t="s">
        <v>515</v>
      </c>
      <c r="C435" s="4" t="s">
        <v>510</v>
      </c>
      <c r="D435" s="4" t="s">
        <v>376</v>
      </c>
      <c r="E435" s="4" t="s">
        <v>511</v>
      </c>
      <c r="F435" s="6">
        <v>8.9499999999999993</v>
      </c>
      <c r="G435" s="6">
        <v>0</v>
      </c>
      <c r="H435" s="6">
        <f t="shared" si="20"/>
        <v>12.53</v>
      </c>
      <c r="I435" s="6">
        <f t="shared" si="21"/>
        <v>12.53</v>
      </c>
      <c r="J435" t="s">
        <v>1762</v>
      </c>
    </row>
    <row r="436" spans="1:10" x14ac:dyDescent="0.35">
      <c r="A436" t="s">
        <v>1155</v>
      </c>
      <c r="B436" s="4" t="s">
        <v>512</v>
      </c>
      <c r="C436" s="4" t="s">
        <v>510</v>
      </c>
      <c r="D436" s="4" t="s">
        <v>376</v>
      </c>
      <c r="E436" s="4" t="s">
        <v>511</v>
      </c>
      <c r="F436" s="6">
        <v>8.9499999999999993</v>
      </c>
      <c r="G436" s="6">
        <v>0</v>
      </c>
      <c r="H436" s="6">
        <f t="shared" si="20"/>
        <v>12.53</v>
      </c>
      <c r="I436" s="6">
        <f t="shared" si="21"/>
        <v>12.53</v>
      </c>
      <c r="J436" t="s">
        <v>1763</v>
      </c>
    </row>
    <row r="437" spans="1:10" x14ac:dyDescent="0.35">
      <c r="A437" t="s">
        <v>1156</v>
      </c>
      <c r="B437" s="4" t="s">
        <v>513</v>
      </c>
      <c r="C437" s="4" t="s">
        <v>510</v>
      </c>
      <c r="D437" s="4" t="s">
        <v>376</v>
      </c>
      <c r="E437" s="4" t="s">
        <v>511</v>
      </c>
      <c r="F437" s="6">
        <v>8.9499999999999993</v>
      </c>
      <c r="G437" s="6">
        <v>0</v>
      </c>
      <c r="H437" s="6">
        <f t="shared" si="20"/>
        <v>12.53</v>
      </c>
      <c r="I437" s="6">
        <f t="shared" si="21"/>
        <v>12.53</v>
      </c>
      <c r="J437" t="s">
        <v>1764</v>
      </c>
    </row>
    <row r="438" spans="1:10" x14ac:dyDescent="0.35">
      <c r="A438" t="s">
        <v>1157</v>
      </c>
      <c r="B438" s="4" t="s">
        <v>514</v>
      </c>
      <c r="C438" s="4" t="s">
        <v>510</v>
      </c>
      <c r="D438" s="4" t="s">
        <v>376</v>
      </c>
      <c r="E438" s="4" t="s">
        <v>511</v>
      </c>
      <c r="F438" s="6">
        <v>10.23</v>
      </c>
      <c r="G438" s="6">
        <v>0</v>
      </c>
      <c r="H438" s="6">
        <f t="shared" si="20"/>
        <v>14.322000000000001</v>
      </c>
      <c r="I438" s="6">
        <f t="shared" si="21"/>
        <v>14.322000000000001</v>
      </c>
      <c r="J438" t="s">
        <v>1765</v>
      </c>
    </row>
    <row r="439" spans="1:10" x14ac:dyDescent="0.35">
      <c r="A439" t="s">
        <v>1158</v>
      </c>
      <c r="B439" s="4" t="s">
        <v>516</v>
      </c>
      <c r="C439" s="4" t="s">
        <v>510</v>
      </c>
      <c r="D439" s="4" t="s">
        <v>376</v>
      </c>
      <c r="E439" s="4" t="s">
        <v>511</v>
      </c>
      <c r="F439" s="6">
        <v>10.23</v>
      </c>
      <c r="G439" s="6">
        <v>0</v>
      </c>
      <c r="H439" s="6">
        <f t="shared" ref="H439:H507" si="22">(F439*0.4)+F439</f>
        <v>14.322000000000001</v>
      </c>
      <c r="I439" s="6">
        <f t="shared" ref="I439:I441" si="23">((F439+G439)*0.4)+(F439+G439)</f>
        <v>14.322000000000001</v>
      </c>
      <c r="J439" t="s">
        <v>1766</v>
      </c>
    </row>
    <row r="440" spans="1:10" x14ac:dyDescent="0.35">
      <c r="A440" t="s">
        <v>1159</v>
      </c>
      <c r="B440" s="4" t="s">
        <v>517</v>
      </c>
      <c r="C440" s="4" t="s">
        <v>510</v>
      </c>
      <c r="D440" s="4" t="s">
        <v>376</v>
      </c>
      <c r="E440" s="4" t="s">
        <v>511</v>
      </c>
      <c r="F440" s="6">
        <v>10.23</v>
      </c>
      <c r="G440" s="6">
        <v>0</v>
      </c>
      <c r="H440" s="6">
        <f t="shared" si="22"/>
        <v>14.322000000000001</v>
      </c>
      <c r="I440" s="6">
        <f t="shared" si="23"/>
        <v>14.322000000000001</v>
      </c>
      <c r="J440" t="s">
        <v>1767</v>
      </c>
    </row>
    <row r="441" spans="1:10" x14ac:dyDescent="0.35">
      <c r="A441" t="s">
        <v>1160</v>
      </c>
      <c r="B441" s="4" t="s">
        <v>518</v>
      </c>
      <c r="C441" s="4" t="s">
        <v>510</v>
      </c>
      <c r="D441" s="4" t="s">
        <v>376</v>
      </c>
      <c r="E441" s="4" t="s">
        <v>511</v>
      </c>
      <c r="F441" s="6">
        <v>12.68</v>
      </c>
      <c r="G441" s="6">
        <v>0</v>
      </c>
      <c r="H441" s="6">
        <f t="shared" si="22"/>
        <v>17.751999999999999</v>
      </c>
      <c r="I441" s="6">
        <f t="shared" si="23"/>
        <v>17.751999999999999</v>
      </c>
      <c r="J441" t="s">
        <v>1768</v>
      </c>
    </row>
    <row r="442" spans="1:10" x14ac:dyDescent="0.35">
      <c r="A442" t="s">
        <v>1161</v>
      </c>
      <c r="B442" s="4" t="s">
        <v>519</v>
      </c>
      <c r="C442" s="4" t="s">
        <v>388</v>
      </c>
      <c r="D442" s="4" t="s">
        <v>376</v>
      </c>
      <c r="E442" s="4" t="s">
        <v>520</v>
      </c>
      <c r="F442" s="6">
        <v>36.479999999999997</v>
      </c>
      <c r="G442" s="6">
        <v>0</v>
      </c>
      <c r="H442" s="6">
        <f t="shared" si="22"/>
        <v>51.071999999999996</v>
      </c>
      <c r="I442" s="6">
        <v>0</v>
      </c>
      <c r="J442" t="s">
        <v>1769</v>
      </c>
    </row>
    <row r="443" spans="1:10" x14ac:dyDescent="0.35">
      <c r="A443" t="s">
        <v>1162</v>
      </c>
      <c r="B443" s="4" t="s">
        <v>521</v>
      </c>
      <c r="C443" s="4" t="s">
        <v>388</v>
      </c>
      <c r="D443" s="4" t="s">
        <v>376</v>
      </c>
      <c r="E443" s="4" t="s">
        <v>520</v>
      </c>
      <c r="F443" s="6">
        <v>36.479999999999997</v>
      </c>
      <c r="G443" s="6">
        <v>0</v>
      </c>
      <c r="H443" s="6">
        <f t="shared" si="22"/>
        <v>51.071999999999996</v>
      </c>
      <c r="I443" s="6">
        <v>0</v>
      </c>
      <c r="J443" t="s">
        <v>1770</v>
      </c>
    </row>
    <row r="444" spans="1:10" x14ac:dyDescent="0.35">
      <c r="A444" t="s">
        <v>1163</v>
      </c>
      <c r="B444" s="4" t="s">
        <v>522</v>
      </c>
      <c r="C444" s="4" t="s">
        <v>388</v>
      </c>
      <c r="D444" s="4" t="s">
        <v>376</v>
      </c>
      <c r="E444" s="4" t="s">
        <v>520</v>
      </c>
      <c r="F444" s="6">
        <v>36.479999999999997</v>
      </c>
      <c r="G444" s="6">
        <v>0</v>
      </c>
      <c r="H444" s="6">
        <f t="shared" si="22"/>
        <v>51.071999999999996</v>
      </c>
      <c r="I444" s="6">
        <v>0</v>
      </c>
      <c r="J444" t="s">
        <v>1771</v>
      </c>
    </row>
    <row r="445" spans="1:10" x14ac:dyDescent="0.35">
      <c r="A445" t="s">
        <v>1164</v>
      </c>
      <c r="B445" s="4" t="s">
        <v>523</v>
      </c>
      <c r="C445" s="4" t="s">
        <v>388</v>
      </c>
      <c r="D445" s="4" t="s">
        <v>376</v>
      </c>
      <c r="E445" s="4" t="s">
        <v>520</v>
      </c>
      <c r="F445" s="6">
        <v>36.479999999999997</v>
      </c>
      <c r="G445" s="6">
        <v>0</v>
      </c>
      <c r="H445" s="6">
        <f t="shared" si="22"/>
        <v>51.071999999999996</v>
      </c>
      <c r="I445" s="6">
        <v>0</v>
      </c>
      <c r="J445" t="s">
        <v>1772</v>
      </c>
    </row>
    <row r="446" spans="1:10" x14ac:dyDescent="0.35">
      <c r="A446" t="s">
        <v>1165</v>
      </c>
      <c r="B446" s="4" t="s">
        <v>524</v>
      </c>
      <c r="C446" s="4" t="s">
        <v>525</v>
      </c>
      <c r="D446" s="4" t="s">
        <v>376</v>
      </c>
      <c r="E446" s="4" t="s">
        <v>526</v>
      </c>
      <c r="F446" s="6">
        <v>13.56</v>
      </c>
      <c r="G446" s="6">
        <v>0</v>
      </c>
      <c r="H446" s="6">
        <f t="shared" si="22"/>
        <v>18.984000000000002</v>
      </c>
      <c r="I446" s="6">
        <f t="shared" ref="I446:I513" si="24">((F446+G446)*0.4)+(F446+G446)</f>
        <v>18.984000000000002</v>
      </c>
      <c r="J446" t="s">
        <v>1773</v>
      </c>
    </row>
    <row r="447" spans="1:10" x14ac:dyDescent="0.35">
      <c r="A447" t="s">
        <v>1166</v>
      </c>
      <c r="B447" s="4" t="s">
        <v>527</v>
      </c>
      <c r="C447" s="4" t="s">
        <v>525</v>
      </c>
      <c r="D447" s="4" t="s">
        <v>376</v>
      </c>
      <c r="E447" s="4" t="s">
        <v>526</v>
      </c>
      <c r="F447" s="6">
        <v>13.56</v>
      </c>
      <c r="G447" s="6">
        <v>0</v>
      </c>
      <c r="H447" s="6">
        <f t="shared" si="22"/>
        <v>18.984000000000002</v>
      </c>
      <c r="I447" s="6">
        <f t="shared" si="24"/>
        <v>18.984000000000002</v>
      </c>
      <c r="J447" t="s">
        <v>1774</v>
      </c>
    </row>
    <row r="448" spans="1:10" x14ac:dyDescent="0.35">
      <c r="A448" t="s">
        <v>1167</v>
      </c>
      <c r="B448" s="4" t="s">
        <v>528</v>
      </c>
      <c r="C448" s="4" t="s">
        <v>525</v>
      </c>
      <c r="D448" s="4" t="s">
        <v>376</v>
      </c>
      <c r="E448" s="4" t="s">
        <v>526</v>
      </c>
      <c r="F448" s="6">
        <v>13.56</v>
      </c>
      <c r="G448" s="6">
        <v>0</v>
      </c>
      <c r="H448" s="6">
        <f t="shared" si="22"/>
        <v>18.984000000000002</v>
      </c>
      <c r="I448" s="6">
        <f t="shared" si="24"/>
        <v>18.984000000000002</v>
      </c>
      <c r="J448" t="s">
        <v>1775</v>
      </c>
    </row>
    <row r="449" spans="1:10" x14ac:dyDescent="0.35">
      <c r="A449" t="s">
        <v>1168</v>
      </c>
      <c r="B449" s="4" t="s">
        <v>529</v>
      </c>
      <c r="C449" s="4" t="s">
        <v>525</v>
      </c>
      <c r="D449" s="4" t="s">
        <v>376</v>
      </c>
      <c r="E449" s="4" t="s">
        <v>526</v>
      </c>
      <c r="F449" s="6">
        <v>13.56</v>
      </c>
      <c r="G449" s="6">
        <v>0</v>
      </c>
      <c r="H449" s="6">
        <f t="shared" si="22"/>
        <v>18.984000000000002</v>
      </c>
      <c r="I449" s="6">
        <f t="shared" si="24"/>
        <v>18.984000000000002</v>
      </c>
      <c r="J449" t="s">
        <v>1776</v>
      </c>
    </row>
    <row r="450" spans="1:10" x14ac:dyDescent="0.35">
      <c r="A450" t="s">
        <v>1169</v>
      </c>
      <c r="B450" s="4" t="s">
        <v>530</v>
      </c>
      <c r="C450" s="4" t="s">
        <v>525</v>
      </c>
      <c r="D450" s="4" t="s">
        <v>376</v>
      </c>
      <c r="E450" s="4" t="s">
        <v>526</v>
      </c>
      <c r="F450" s="6">
        <v>13.56</v>
      </c>
      <c r="G450" s="6">
        <v>0</v>
      </c>
      <c r="H450" s="6">
        <f t="shared" si="22"/>
        <v>18.984000000000002</v>
      </c>
      <c r="I450" s="6">
        <f t="shared" si="24"/>
        <v>18.984000000000002</v>
      </c>
      <c r="J450" t="s">
        <v>1777</v>
      </c>
    </row>
    <row r="451" spans="1:10" x14ac:dyDescent="0.35">
      <c r="A451" t="s">
        <v>1170</v>
      </c>
      <c r="B451" s="4" t="s">
        <v>531</v>
      </c>
      <c r="C451" s="4" t="s">
        <v>525</v>
      </c>
      <c r="D451" s="4" t="s">
        <v>376</v>
      </c>
      <c r="E451" s="4" t="s">
        <v>526</v>
      </c>
      <c r="F451" s="6">
        <v>13.56</v>
      </c>
      <c r="G451" s="6">
        <v>0</v>
      </c>
      <c r="H451" s="6">
        <f t="shared" si="22"/>
        <v>18.984000000000002</v>
      </c>
      <c r="I451" s="6">
        <f t="shared" si="24"/>
        <v>18.984000000000002</v>
      </c>
      <c r="J451" t="s">
        <v>1778</v>
      </c>
    </row>
    <row r="452" spans="1:10" x14ac:dyDescent="0.35">
      <c r="A452" t="s">
        <v>1171</v>
      </c>
      <c r="B452" s="4" t="s">
        <v>532</v>
      </c>
      <c r="C452" s="4" t="s">
        <v>525</v>
      </c>
      <c r="D452" s="4" t="s">
        <v>376</v>
      </c>
      <c r="E452" s="4" t="s">
        <v>526</v>
      </c>
      <c r="F452" s="6">
        <v>13.56</v>
      </c>
      <c r="G452" s="6">
        <v>0</v>
      </c>
      <c r="H452" s="6">
        <f t="shared" si="22"/>
        <v>18.984000000000002</v>
      </c>
      <c r="I452" s="6">
        <f t="shared" si="24"/>
        <v>18.984000000000002</v>
      </c>
      <c r="J452" t="s">
        <v>1779</v>
      </c>
    </row>
    <row r="453" spans="1:10" x14ac:dyDescent="0.35">
      <c r="A453" t="s">
        <v>1172</v>
      </c>
      <c r="B453" s="4" t="s">
        <v>533</v>
      </c>
      <c r="C453" s="4" t="s">
        <v>534</v>
      </c>
      <c r="D453" s="4" t="s">
        <v>376</v>
      </c>
      <c r="E453" s="4" t="s">
        <v>535</v>
      </c>
      <c r="F453" s="6">
        <v>46.5</v>
      </c>
      <c r="G453" s="6">
        <v>0</v>
      </c>
      <c r="H453" s="6">
        <f t="shared" si="22"/>
        <v>65.099999999999994</v>
      </c>
      <c r="I453" s="6">
        <f t="shared" si="24"/>
        <v>65.099999999999994</v>
      </c>
      <c r="J453" t="s">
        <v>1780</v>
      </c>
    </row>
    <row r="454" spans="1:10" x14ac:dyDescent="0.35">
      <c r="A454" t="s">
        <v>1173</v>
      </c>
      <c r="B454" s="4" t="s">
        <v>536</v>
      </c>
      <c r="C454" s="4" t="s">
        <v>534</v>
      </c>
      <c r="D454" s="4" t="s">
        <v>376</v>
      </c>
      <c r="E454" s="4" t="s">
        <v>535</v>
      </c>
      <c r="F454" s="6">
        <v>46.5</v>
      </c>
      <c r="G454" s="6">
        <v>0</v>
      </c>
      <c r="H454" s="6">
        <f t="shared" si="22"/>
        <v>65.099999999999994</v>
      </c>
      <c r="I454" s="6">
        <f t="shared" si="24"/>
        <v>65.099999999999994</v>
      </c>
      <c r="J454" t="s">
        <v>1781</v>
      </c>
    </row>
    <row r="455" spans="1:10" x14ac:dyDescent="0.35">
      <c r="A455" t="s">
        <v>1174</v>
      </c>
      <c r="B455" s="4" t="s">
        <v>537</v>
      </c>
      <c r="C455" s="4" t="s">
        <v>534</v>
      </c>
      <c r="D455" s="4" t="s">
        <v>376</v>
      </c>
      <c r="E455" s="4" t="s">
        <v>535</v>
      </c>
      <c r="F455" s="6">
        <v>21.6</v>
      </c>
      <c r="G455" s="6">
        <v>0</v>
      </c>
      <c r="H455" s="6">
        <f t="shared" si="22"/>
        <v>30.240000000000002</v>
      </c>
      <c r="I455" s="6">
        <f t="shared" si="24"/>
        <v>30.240000000000002</v>
      </c>
      <c r="J455" t="s">
        <v>1782</v>
      </c>
    </row>
    <row r="456" spans="1:10" x14ac:dyDescent="0.35">
      <c r="A456" t="s">
        <v>1175</v>
      </c>
      <c r="B456" s="4" t="s">
        <v>538</v>
      </c>
      <c r="C456" s="4" t="s">
        <v>534</v>
      </c>
      <c r="D456" s="4" t="s">
        <v>376</v>
      </c>
      <c r="E456" s="4" t="s">
        <v>535</v>
      </c>
      <c r="F456" s="6">
        <v>21.6</v>
      </c>
      <c r="G456" s="6">
        <v>0</v>
      </c>
      <c r="H456" s="6">
        <f t="shared" si="22"/>
        <v>30.240000000000002</v>
      </c>
      <c r="I456" s="6">
        <f t="shared" si="24"/>
        <v>30.240000000000002</v>
      </c>
      <c r="J456" t="s">
        <v>1783</v>
      </c>
    </row>
    <row r="457" spans="1:10" x14ac:dyDescent="0.35">
      <c r="A457" t="s">
        <v>1176</v>
      </c>
      <c r="B457" s="4" t="s">
        <v>539</v>
      </c>
      <c r="C457" s="4" t="s">
        <v>540</v>
      </c>
      <c r="D457" s="4" t="s">
        <v>376</v>
      </c>
      <c r="E457" s="4" t="s">
        <v>425</v>
      </c>
      <c r="F457" s="6">
        <v>35.81</v>
      </c>
      <c r="G457" s="6">
        <v>0</v>
      </c>
      <c r="H457" s="6">
        <f t="shared" si="22"/>
        <v>50.134</v>
      </c>
      <c r="I457" s="6">
        <f t="shared" si="24"/>
        <v>50.134</v>
      </c>
      <c r="J457" t="s">
        <v>1784</v>
      </c>
    </row>
    <row r="458" spans="1:10" x14ac:dyDescent="0.35">
      <c r="A458" t="s">
        <v>1177</v>
      </c>
      <c r="B458" s="4" t="s">
        <v>541</v>
      </c>
      <c r="C458" s="4" t="s">
        <v>540</v>
      </c>
      <c r="D458" s="4" t="s">
        <v>376</v>
      </c>
      <c r="E458" s="4" t="s">
        <v>425</v>
      </c>
      <c r="F458" s="6">
        <v>54</v>
      </c>
      <c r="G458" s="6">
        <v>0</v>
      </c>
      <c r="H458" s="6">
        <f t="shared" si="22"/>
        <v>75.599999999999994</v>
      </c>
      <c r="I458" s="6">
        <f t="shared" si="24"/>
        <v>75.599999999999994</v>
      </c>
      <c r="J458" t="s">
        <v>1785</v>
      </c>
    </row>
    <row r="459" spans="1:10" x14ac:dyDescent="0.35">
      <c r="A459" t="s">
        <v>1178</v>
      </c>
      <c r="B459" s="4" t="s">
        <v>542</v>
      </c>
      <c r="C459" s="4" t="s">
        <v>540</v>
      </c>
      <c r="D459" s="4" t="s">
        <v>376</v>
      </c>
      <c r="E459" s="4" t="s">
        <v>425</v>
      </c>
      <c r="F459" s="6">
        <v>48</v>
      </c>
      <c r="G459" s="6">
        <v>0</v>
      </c>
      <c r="H459" s="6">
        <f t="shared" si="22"/>
        <v>67.2</v>
      </c>
      <c r="I459" s="6">
        <f t="shared" si="24"/>
        <v>67.2</v>
      </c>
      <c r="J459" t="s">
        <v>1786</v>
      </c>
    </row>
    <row r="460" spans="1:10" x14ac:dyDescent="0.35">
      <c r="A460" t="s">
        <v>1179</v>
      </c>
      <c r="B460" s="4" t="s">
        <v>543</v>
      </c>
      <c r="C460" s="4" t="s">
        <v>540</v>
      </c>
      <c r="D460" s="4" t="s">
        <v>376</v>
      </c>
      <c r="E460" s="4" t="s">
        <v>425</v>
      </c>
      <c r="F460" s="6">
        <v>60</v>
      </c>
      <c r="G460" s="6">
        <v>0</v>
      </c>
      <c r="H460" s="6">
        <f t="shared" si="22"/>
        <v>84</v>
      </c>
      <c r="I460" s="6">
        <f t="shared" si="24"/>
        <v>84</v>
      </c>
      <c r="J460" t="s">
        <v>1787</v>
      </c>
    </row>
    <row r="461" spans="1:10" x14ac:dyDescent="0.35">
      <c r="A461" t="s">
        <v>1180</v>
      </c>
      <c r="B461" s="4" t="s">
        <v>544</v>
      </c>
      <c r="C461" s="4" t="s">
        <v>545</v>
      </c>
      <c r="D461" s="4" t="s">
        <v>376</v>
      </c>
      <c r="E461" s="4" t="s">
        <v>425</v>
      </c>
      <c r="F461" s="6">
        <v>27.5</v>
      </c>
      <c r="G461" s="6">
        <v>0</v>
      </c>
      <c r="H461" s="6">
        <f t="shared" si="22"/>
        <v>38.5</v>
      </c>
      <c r="I461" s="6">
        <f t="shared" si="24"/>
        <v>38.5</v>
      </c>
      <c r="J461" t="s">
        <v>1788</v>
      </c>
    </row>
    <row r="462" spans="1:10" x14ac:dyDescent="0.35">
      <c r="A462" t="s">
        <v>1181</v>
      </c>
      <c r="B462" s="4" t="s">
        <v>546</v>
      </c>
      <c r="C462" s="4" t="s">
        <v>545</v>
      </c>
      <c r="D462" s="4" t="s">
        <v>376</v>
      </c>
      <c r="E462" s="4" t="s">
        <v>425</v>
      </c>
      <c r="F462" s="6">
        <v>31.9</v>
      </c>
      <c r="G462" s="6">
        <v>0</v>
      </c>
      <c r="H462" s="6">
        <f t="shared" si="22"/>
        <v>44.66</v>
      </c>
      <c r="I462" s="6">
        <f t="shared" si="24"/>
        <v>44.66</v>
      </c>
      <c r="J462" t="s">
        <v>1789</v>
      </c>
    </row>
    <row r="463" spans="1:10" x14ac:dyDescent="0.35">
      <c r="A463" t="s">
        <v>1182</v>
      </c>
      <c r="B463" s="4" t="s">
        <v>547</v>
      </c>
      <c r="C463" s="4" t="s">
        <v>548</v>
      </c>
      <c r="D463" s="4" t="s">
        <v>376</v>
      </c>
      <c r="E463" s="4" t="s">
        <v>425</v>
      </c>
      <c r="F463" s="6">
        <v>26.4</v>
      </c>
      <c r="G463" s="6">
        <v>0</v>
      </c>
      <c r="H463" s="6">
        <f t="shared" si="22"/>
        <v>36.96</v>
      </c>
      <c r="I463" s="6">
        <f t="shared" si="24"/>
        <v>36.96</v>
      </c>
      <c r="J463" t="s">
        <v>1790</v>
      </c>
    </row>
    <row r="464" spans="1:10" x14ac:dyDescent="0.35">
      <c r="A464" t="s">
        <v>1183</v>
      </c>
      <c r="B464" s="4" t="s">
        <v>549</v>
      </c>
      <c r="C464" s="4" t="s">
        <v>548</v>
      </c>
      <c r="D464" s="4" t="s">
        <v>376</v>
      </c>
      <c r="E464" s="4" t="s">
        <v>425</v>
      </c>
      <c r="F464" s="6">
        <v>27.5</v>
      </c>
      <c r="G464" s="6">
        <v>0</v>
      </c>
      <c r="H464" s="6">
        <f t="shared" si="22"/>
        <v>38.5</v>
      </c>
      <c r="I464" s="6">
        <f t="shared" si="24"/>
        <v>38.5</v>
      </c>
      <c r="J464" t="s">
        <v>1791</v>
      </c>
    </row>
    <row r="465" spans="1:10" x14ac:dyDescent="0.35">
      <c r="A465" t="s">
        <v>1184</v>
      </c>
      <c r="B465" s="4" t="s">
        <v>550</v>
      </c>
      <c r="C465" s="4" t="s">
        <v>551</v>
      </c>
      <c r="D465" s="4" t="s">
        <v>376</v>
      </c>
      <c r="E465" s="4" t="s">
        <v>425</v>
      </c>
      <c r="F465" s="6">
        <v>56.04</v>
      </c>
      <c r="G465" s="6">
        <v>0</v>
      </c>
      <c r="H465" s="6">
        <f t="shared" si="22"/>
        <v>78.456000000000003</v>
      </c>
      <c r="I465" s="6">
        <f t="shared" si="24"/>
        <v>78.456000000000003</v>
      </c>
      <c r="J465" t="s">
        <v>1794</v>
      </c>
    </row>
    <row r="466" spans="1:10" x14ac:dyDescent="0.35">
      <c r="A466" t="s">
        <v>1185</v>
      </c>
      <c r="B466" s="4" t="s">
        <v>552</v>
      </c>
      <c r="C466" s="4" t="s">
        <v>551</v>
      </c>
      <c r="D466" s="4" t="s">
        <v>376</v>
      </c>
      <c r="E466" s="4" t="s">
        <v>425</v>
      </c>
      <c r="F466" s="6">
        <v>54.52</v>
      </c>
      <c r="G466" s="6">
        <v>0</v>
      </c>
      <c r="H466" s="6">
        <f t="shared" si="22"/>
        <v>76.328000000000003</v>
      </c>
      <c r="I466" s="6">
        <f t="shared" si="24"/>
        <v>76.328000000000003</v>
      </c>
      <c r="J466" t="s">
        <v>1795</v>
      </c>
    </row>
    <row r="467" spans="1:10" x14ac:dyDescent="0.35">
      <c r="A467" t="s">
        <v>1186</v>
      </c>
      <c r="B467" s="4" t="s">
        <v>1792</v>
      </c>
      <c r="C467" s="4" t="s">
        <v>551</v>
      </c>
      <c r="D467" s="4" t="s">
        <v>376</v>
      </c>
      <c r="E467" s="4" t="s">
        <v>425</v>
      </c>
      <c r="F467" s="6">
        <v>25.85</v>
      </c>
      <c r="G467" s="6">
        <v>0</v>
      </c>
      <c r="H467" s="6">
        <f t="shared" si="22"/>
        <v>36.190000000000005</v>
      </c>
      <c r="I467" s="6">
        <f t="shared" si="24"/>
        <v>36.190000000000005</v>
      </c>
      <c r="J467" t="s">
        <v>1796</v>
      </c>
    </row>
    <row r="468" spans="1:10" x14ac:dyDescent="0.35">
      <c r="A468" t="s">
        <v>1187</v>
      </c>
      <c r="B468" s="4" t="s">
        <v>1793</v>
      </c>
      <c r="C468" s="4" t="s">
        <v>551</v>
      </c>
      <c r="D468" s="4" t="s">
        <v>376</v>
      </c>
      <c r="E468" s="4" t="s">
        <v>425</v>
      </c>
      <c r="F468" s="6">
        <v>0</v>
      </c>
      <c r="G468" s="6">
        <v>0</v>
      </c>
      <c r="H468" s="6">
        <f t="shared" si="22"/>
        <v>0</v>
      </c>
      <c r="I468" s="6">
        <f t="shared" si="24"/>
        <v>0</v>
      </c>
      <c r="J468" t="s">
        <v>1797</v>
      </c>
    </row>
    <row r="469" spans="1:10" x14ac:dyDescent="0.35">
      <c r="A469" t="s">
        <v>1188</v>
      </c>
      <c r="B469" s="4" t="s">
        <v>553</v>
      </c>
      <c r="C469" s="4" t="s">
        <v>554</v>
      </c>
      <c r="D469" s="4" t="s">
        <v>376</v>
      </c>
      <c r="E469" s="4" t="s">
        <v>425</v>
      </c>
      <c r="F469" s="6">
        <v>29.7</v>
      </c>
      <c r="G469" s="6">
        <v>0</v>
      </c>
      <c r="H469" s="6">
        <f t="shared" si="22"/>
        <v>41.58</v>
      </c>
      <c r="I469" s="6">
        <f t="shared" si="24"/>
        <v>41.58</v>
      </c>
      <c r="J469" t="s">
        <v>1798</v>
      </c>
    </row>
    <row r="470" spans="1:10" x14ac:dyDescent="0.35">
      <c r="A470" t="s">
        <v>1189</v>
      </c>
      <c r="B470" s="4" t="s">
        <v>555</v>
      </c>
      <c r="C470" s="4" t="s">
        <v>554</v>
      </c>
      <c r="D470" s="4" t="s">
        <v>376</v>
      </c>
      <c r="E470" s="4" t="s">
        <v>425</v>
      </c>
      <c r="F470" s="6">
        <v>29.7</v>
      </c>
      <c r="G470" s="6">
        <v>0</v>
      </c>
      <c r="H470" s="6">
        <f t="shared" si="22"/>
        <v>41.58</v>
      </c>
      <c r="I470" s="6">
        <f t="shared" si="24"/>
        <v>41.58</v>
      </c>
      <c r="J470" t="s">
        <v>1799</v>
      </c>
    </row>
    <row r="471" spans="1:10" x14ac:dyDescent="0.35">
      <c r="A471" t="s">
        <v>1190</v>
      </c>
      <c r="B471" s="4" t="s">
        <v>556</v>
      </c>
      <c r="C471" s="4" t="s">
        <v>554</v>
      </c>
      <c r="D471" s="4" t="s">
        <v>376</v>
      </c>
      <c r="E471" s="4" t="s">
        <v>400</v>
      </c>
      <c r="F471" s="6">
        <v>22.55</v>
      </c>
      <c r="G471" s="6">
        <v>0</v>
      </c>
      <c r="H471" s="6">
        <f t="shared" si="22"/>
        <v>31.57</v>
      </c>
      <c r="I471" s="6">
        <f t="shared" si="24"/>
        <v>31.57</v>
      </c>
      <c r="J471" t="s">
        <v>1800</v>
      </c>
    </row>
    <row r="472" spans="1:10" x14ac:dyDescent="0.35">
      <c r="A472" t="s">
        <v>1191</v>
      </c>
      <c r="B472" s="4" t="s">
        <v>557</v>
      </c>
      <c r="C472" s="4" t="s">
        <v>296</v>
      </c>
      <c r="D472" s="4" t="s">
        <v>376</v>
      </c>
      <c r="E472" s="4" t="s">
        <v>558</v>
      </c>
      <c r="F472" s="6">
        <v>28.75</v>
      </c>
      <c r="G472" s="6">
        <v>0</v>
      </c>
      <c r="H472" s="6">
        <f t="shared" si="22"/>
        <v>40.25</v>
      </c>
      <c r="I472" s="6">
        <f t="shared" si="24"/>
        <v>40.25</v>
      </c>
      <c r="J472" t="s">
        <v>1801</v>
      </c>
    </row>
    <row r="473" spans="1:10" x14ac:dyDescent="0.35">
      <c r="A473" t="s">
        <v>1192</v>
      </c>
      <c r="B473" s="4" t="s">
        <v>559</v>
      </c>
      <c r="C473" s="4" t="s">
        <v>296</v>
      </c>
      <c r="D473" s="4" t="s">
        <v>376</v>
      </c>
      <c r="E473" s="4" t="s">
        <v>558</v>
      </c>
      <c r="F473" s="6">
        <v>15</v>
      </c>
      <c r="G473" s="6">
        <v>0</v>
      </c>
      <c r="H473" s="6">
        <f t="shared" si="22"/>
        <v>21</v>
      </c>
      <c r="I473" s="6">
        <f t="shared" si="24"/>
        <v>21</v>
      </c>
      <c r="J473" t="s">
        <v>1802</v>
      </c>
    </row>
    <row r="474" spans="1:10" x14ac:dyDescent="0.35">
      <c r="A474" t="s">
        <v>1193</v>
      </c>
      <c r="B474" s="4" t="s">
        <v>560</v>
      </c>
      <c r="C474" s="4" t="s">
        <v>296</v>
      </c>
      <c r="D474" s="4" t="s">
        <v>376</v>
      </c>
      <c r="E474" s="4" t="s">
        <v>558</v>
      </c>
      <c r="F474" s="6">
        <v>15</v>
      </c>
      <c r="G474" s="6">
        <v>0</v>
      </c>
      <c r="H474" s="6">
        <f t="shared" si="22"/>
        <v>21</v>
      </c>
      <c r="I474" s="6">
        <f t="shared" si="24"/>
        <v>21</v>
      </c>
      <c r="J474" t="s">
        <v>1803</v>
      </c>
    </row>
    <row r="475" spans="1:10" x14ac:dyDescent="0.35">
      <c r="A475" t="s">
        <v>1194</v>
      </c>
      <c r="B475" s="4" t="s">
        <v>561</v>
      </c>
      <c r="C475" s="4" t="s">
        <v>562</v>
      </c>
      <c r="D475" s="4" t="s">
        <v>376</v>
      </c>
      <c r="E475" s="4" t="s">
        <v>558</v>
      </c>
      <c r="F475" s="6">
        <v>55</v>
      </c>
      <c r="G475" s="6">
        <v>0</v>
      </c>
      <c r="H475" s="6">
        <f t="shared" si="22"/>
        <v>77</v>
      </c>
      <c r="I475" s="6">
        <f t="shared" si="24"/>
        <v>77</v>
      </c>
      <c r="J475" t="s">
        <v>1804</v>
      </c>
    </row>
    <row r="476" spans="1:10" x14ac:dyDescent="0.35">
      <c r="A476" t="s">
        <v>1195</v>
      </c>
      <c r="B476" s="4" t="s">
        <v>563</v>
      </c>
      <c r="C476" s="4" t="s">
        <v>564</v>
      </c>
      <c r="D476" s="4" t="s">
        <v>376</v>
      </c>
      <c r="E476" s="4" t="s">
        <v>565</v>
      </c>
      <c r="F476" s="6">
        <v>59.02</v>
      </c>
      <c r="G476" s="6">
        <v>0</v>
      </c>
      <c r="H476" s="6">
        <f t="shared" si="22"/>
        <v>82.628000000000014</v>
      </c>
      <c r="I476" s="6">
        <f t="shared" si="24"/>
        <v>82.628000000000014</v>
      </c>
      <c r="J476" t="s">
        <v>1805</v>
      </c>
    </row>
    <row r="477" spans="1:10" x14ac:dyDescent="0.35">
      <c r="A477" t="s">
        <v>1196</v>
      </c>
      <c r="B477" s="4" t="s">
        <v>566</v>
      </c>
      <c r="C477" s="4" t="s">
        <v>564</v>
      </c>
      <c r="D477" s="4" t="s">
        <v>376</v>
      </c>
      <c r="E477" s="4" t="s">
        <v>567</v>
      </c>
      <c r="F477" s="6">
        <v>37.06</v>
      </c>
      <c r="G477" s="6">
        <v>0</v>
      </c>
      <c r="H477" s="6">
        <f t="shared" si="22"/>
        <v>51.884</v>
      </c>
      <c r="I477" s="6">
        <f t="shared" si="24"/>
        <v>51.884</v>
      </c>
      <c r="J477" t="s">
        <v>1806</v>
      </c>
    </row>
    <row r="478" spans="1:10" x14ac:dyDescent="0.35">
      <c r="A478" t="s">
        <v>1197</v>
      </c>
      <c r="B478" s="4" t="s">
        <v>1807</v>
      </c>
      <c r="C478" s="4" t="s">
        <v>564</v>
      </c>
      <c r="D478" s="4" t="s">
        <v>376</v>
      </c>
      <c r="E478" s="4" t="s">
        <v>568</v>
      </c>
      <c r="F478" s="6">
        <v>50.44</v>
      </c>
      <c r="G478" s="6">
        <v>0</v>
      </c>
      <c r="H478" s="6">
        <f t="shared" si="22"/>
        <v>70.616</v>
      </c>
      <c r="I478" s="6">
        <f t="shared" si="24"/>
        <v>70.616</v>
      </c>
      <c r="J478" t="s">
        <v>1809</v>
      </c>
    </row>
    <row r="479" spans="1:10" x14ac:dyDescent="0.35">
      <c r="A479" t="s">
        <v>1198</v>
      </c>
      <c r="B479" s="4" t="s">
        <v>1808</v>
      </c>
      <c r="C479" s="4" t="s">
        <v>564</v>
      </c>
      <c r="D479" s="4" t="s">
        <v>376</v>
      </c>
      <c r="E479" s="4" t="s">
        <v>568</v>
      </c>
      <c r="F479" s="6">
        <v>0</v>
      </c>
      <c r="G479" s="6">
        <v>0</v>
      </c>
      <c r="H479" s="6">
        <f t="shared" si="22"/>
        <v>0</v>
      </c>
      <c r="I479" s="6">
        <f t="shared" si="24"/>
        <v>0</v>
      </c>
      <c r="J479" t="s">
        <v>1810</v>
      </c>
    </row>
    <row r="480" spans="1:10" x14ac:dyDescent="0.35">
      <c r="A480" t="s">
        <v>1199</v>
      </c>
      <c r="B480" s="4" t="s">
        <v>569</v>
      </c>
      <c r="C480" s="4" t="s">
        <v>570</v>
      </c>
      <c r="D480" s="4" t="s">
        <v>376</v>
      </c>
      <c r="E480" s="4" t="s">
        <v>565</v>
      </c>
      <c r="F480" s="6">
        <v>44.63</v>
      </c>
      <c r="G480" s="6">
        <v>0</v>
      </c>
      <c r="H480" s="6">
        <f t="shared" si="22"/>
        <v>62.481999999999999</v>
      </c>
      <c r="I480" s="6">
        <f t="shared" si="24"/>
        <v>62.481999999999999</v>
      </c>
      <c r="J480" t="s">
        <v>1811</v>
      </c>
    </row>
    <row r="481" spans="1:10" x14ac:dyDescent="0.35">
      <c r="A481" t="s">
        <v>1200</v>
      </c>
      <c r="B481" s="4" t="s">
        <v>571</v>
      </c>
      <c r="C481" s="4" t="s">
        <v>570</v>
      </c>
      <c r="D481" s="4" t="s">
        <v>376</v>
      </c>
      <c r="E481" s="4" t="s">
        <v>572</v>
      </c>
      <c r="F481" s="6">
        <v>21.31</v>
      </c>
      <c r="G481" s="6">
        <v>0</v>
      </c>
      <c r="H481" s="6">
        <f t="shared" si="22"/>
        <v>29.833999999999996</v>
      </c>
      <c r="I481" s="6">
        <f t="shared" si="24"/>
        <v>29.833999999999996</v>
      </c>
      <c r="J481" t="s">
        <v>1812</v>
      </c>
    </row>
    <row r="482" spans="1:10" x14ac:dyDescent="0.35">
      <c r="A482" t="s">
        <v>1201</v>
      </c>
      <c r="B482" s="4" t="s">
        <v>573</v>
      </c>
      <c r="C482" s="4" t="s">
        <v>574</v>
      </c>
      <c r="D482" s="4" t="s">
        <v>376</v>
      </c>
      <c r="E482" s="4" t="s">
        <v>425</v>
      </c>
      <c r="F482" s="6">
        <v>29.7</v>
      </c>
      <c r="G482" s="6">
        <v>0</v>
      </c>
      <c r="H482" s="6">
        <f t="shared" si="22"/>
        <v>41.58</v>
      </c>
      <c r="I482" s="6">
        <f t="shared" si="24"/>
        <v>41.58</v>
      </c>
      <c r="J482" t="s">
        <v>1813</v>
      </c>
    </row>
    <row r="483" spans="1:10" x14ac:dyDescent="0.35">
      <c r="A483" t="s">
        <v>1202</v>
      </c>
      <c r="B483" s="4" t="s">
        <v>575</v>
      </c>
      <c r="C483" s="4" t="s">
        <v>574</v>
      </c>
      <c r="D483" s="4" t="s">
        <v>376</v>
      </c>
      <c r="E483" s="4" t="s">
        <v>425</v>
      </c>
      <c r="F483" s="6">
        <v>31.7</v>
      </c>
      <c r="G483" s="6">
        <v>0</v>
      </c>
      <c r="H483" s="6">
        <f t="shared" si="22"/>
        <v>44.379999999999995</v>
      </c>
      <c r="I483" s="6">
        <f t="shared" si="24"/>
        <v>44.379999999999995</v>
      </c>
      <c r="J483" t="s">
        <v>1814</v>
      </c>
    </row>
    <row r="484" spans="1:10" x14ac:dyDescent="0.35">
      <c r="A484" t="s">
        <v>1203</v>
      </c>
      <c r="B484" s="4" t="s">
        <v>576</v>
      </c>
      <c r="C484" s="4" t="s">
        <v>574</v>
      </c>
      <c r="D484" s="4" t="s">
        <v>376</v>
      </c>
      <c r="E484" s="4" t="s">
        <v>425</v>
      </c>
      <c r="F484" s="6">
        <v>42</v>
      </c>
      <c r="G484" s="6">
        <v>0</v>
      </c>
      <c r="H484" s="6">
        <f t="shared" si="22"/>
        <v>58.8</v>
      </c>
      <c r="I484" s="6">
        <f t="shared" si="24"/>
        <v>58.8</v>
      </c>
      <c r="J484" t="s">
        <v>1815</v>
      </c>
    </row>
    <row r="485" spans="1:10" x14ac:dyDescent="0.35">
      <c r="A485" t="s">
        <v>1204</v>
      </c>
      <c r="B485" s="4" t="s">
        <v>577</v>
      </c>
      <c r="C485" s="4" t="s">
        <v>574</v>
      </c>
      <c r="D485" s="4" t="s">
        <v>376</v>
      </c>
      <c r="E485" s="4" t="s">
        <v>425</v>
      </c>
      <c r="F485" s="6">
        <v>42</v>
      </c>
      <c r="G485" s="6">
        <v>0</v>
      </c>
      <c r="H485" s="6">
        <f t="shared" si="22"/>
        <v>58.8</v>
      </c>
      <c r="I485" s="6">
        <f t="shared" si="24"/>
        <v>58.8</v>
      </c>
      <c r="J485" t="s">
        <v>1816</v>
      </c>
    </row>
    <row r="486" spans="1:10" x14ac:dyDescent="0.35">
      <c r="A486" t="s">
        <v>1205</v>
      </c>
      <c r="B486" s="4" t="s">
        <v>578</v>
      </c>
      <c r="C486" s="4" t="s">
        <v>579</v>
      </c>
      <c r="D486" s="4" t="s">
        <v>376</v>
      </c>
      <c r="E486" s="4" t="s">
        <v>425</v>
      </c>
      <c r="F486" s="6">
        <v>45.36</v>
      </c>
      <c r="G486" s="6">
        <v>0</v>
      </c>
      <c r="H486" s="6">
        <f t="shared" si="22"/>
        <v>63.504000000000005</v>
      </c>
      <c r="I486" s="6">
        <f t="shared" si="24"/>
        <v>63.504000000000005</v>
      </c>
      <c r="J486" t="s">
        <v>1817</v>
      </c>
    </row>
    <row r="487" spans="1:10" x14ac:dyDescent="0.35">
      <c r="A487" t="s">
        <v>1206</v>
      </c>
      <c r="B487" s="4" t="s">
        <v>1818</v>
      </c>
      <c r="C487" s="4" t="s">
        <v>564</v>
      </c>
      <c r="D487" s="4" t="s">
        <v>376</v>
      </c>
      <c r="E487" s="4" t="s">
        <v>580</v>
      </c>
      <c r="F487" s="6">
        <v>44.48</v>
      </c>
      <c r="G487" s="6">
        <v>0</v>
      </c>
      <c r="H487" s="6">
        <f t="shared" si="22"/>
        <v>62.271999999999991</v>
      </c>
      <c r="I487" s="6">
        <f t="shared" si="24"/>
        <v>62.271999999999991</v>
      </c>
      <c r="J487" t="s">
        <v>1820</v>
      </c>
    </row>
    <row r="488" spans="1:10" x14ac:dyDescent="0.35">
      <c r="A488" t="s">
        <v>1207</v>
      </c>
      <c r="B488" s="4" t="s">
        <v>1819</v>
      </c>
      <c r="C488" s="4" t="s">
        <v>564</v>
      </c>
      <c r="D488" s="4" t="s">
        <v>376</v>
      </c>
      <c r="E488" s="4" t="s">
        <v>580</v>
      </c>
      <c r="F488" s="6">
        <v>0</v>
      </c>
      <c r="G488" s="6">
        <v>0</v>
      </c>
      <c r="H488" s="6">
        <f t="shared" si="22"/>
        <v>0</v>
      </c>
      <c r="I488" s="6">
        <f t="shared" si="24"/>
        <v>0</v>
      </c>
      <c r="J488" t="s">
        <v>1821</v>
      </c>
    </row>
    <row r="489" spans="1:10" x14ac:dyDescent="0.35">
      <c r="A489" t="s">
        <v>1208</v>
      </c>
      <c r="B489" s="4" t="s">
        <v>581</v>
      </c>
      <c r="C489" s="4" t="s">
        <v>582</v>
      </c>
      <c r="D489" s="4" t="s">
        <v>376</v>
      </c>
      <c r="E489" s="4" t="s">
        <v>278</v>
      </c>
      <c r="F489" s="6">
        <v>71.64</v>
      </c>
      <c r="G489" s="6">
        <v>0</v>
      </c>
      <c r="H489" s="6">
        <f t="shared" si="22"/>
        <v>100.29600000000001</v>
      </c>
      <c r="I489" s="6">
        <f t="shared" si="24"/>
        <v>100.29600000000001</v>
      </c>
      <c r="J489" t="s">
        <v>1822</v>
      </c>
    </row>
    <row r="490" spans="1:10" x14ac:dyDescent="0.35">
      <c r="A490" t="s">
        <v>1209</v>
      </c>
      <c r="B490" s="4" t="s">
        <v>583</v>
      </c>
      <c r="C490" s="4" t="s">
        <v>584</v>
      </c>
      <c r="D490" s="4" t="s">
        <v>376</v>
      </c>
      <c r="E490" s="4" t="s">
        <v>585</v>
      </c>
      <c r="F490" s="6">
        <v>34.700000000000003</v>
      </c>
      <c r="G490" s="6">
        <v>0</v>
      </c>
      <c r="H490" s="6">
        <f t="shared" si="22"/>
        <v>48.580000000000005</v>
      </c>
      <c r="I490" s="6">
        <f t="shared" si="24"/>
        <v>48.580000000000005</v>
      </c>
      <c r="J490" t="s">
        <v>1823</v>
      </c>
    </row>
    <row r="491" spans="1:10" x14ac:dyDescent="0.35">
      <c r="A491" t="s">
        <v>1210</v>
      </c>
      <c r="B491" s="4" t="s">
        <v>586</v>
      </c>
      <c r="C491" s="4" t="s">
        <v>274</v>
      </c>
      <c r="D491" s="4" t="s">
        <v>376</v>
      </c>
      <c r="E491" s="4" t="s">
        <v>278</v>
      </c>
      <c r="F491" s="6">
        <v>46</v>
      </c>
      <c r="G491" s="6">
        <v>0</v>
      </c>
      <c r="H491" s="6">
        <f t="shared" si="22"/>
        <v>64.400000000000006</v>
      </c>
      <c r="I491" s="6">
        <f t="shared" si="24"/>
        <v>64.400000000000006</v>
      </c>
      <c r="J491" t="s">
        <v>1824</v>
      </c>
    </row>
    <row r="492" spans="1:10" x14ac:dyDescent="0.35">
      <c r="A492" t="s">
        <v>1211</v>
      </c>
      <c r="B492" s="4" t="s">
        <v>587</v>
      </c>
      <c r="C492" s="4" t="s">
        <v>274</v>
      </c>
      <c r="D492" s="4" t="s">
        <v>376</v>
      </c>
      <c r="E492" s="4" t="s">
        <v>278</v>
      </c>
      <c r="F492" s="6">
        <v>46</v>
      </c>
      <c r="G492" s="6">
        <v>0</v>
      </c>
      <c r="H492" s="6">
        <f t="shared" si="22"/>
        <v>64.400000000000006</v>
      </c>
      <c r="I492" s="6">
        <f t="shared" si="24"/>
        <v>64.400000000000006</v>
      </c>
      <c r="J492" t="s">
        <v>1825</v>
      </c>
    </row>
    <row r="493" spans="1:10" x14ac:dyDescent="0.35">
      <c r="A493" t="s">
        <v>1212</v>
      </c>
      <c r="B493" s="4" t="s">
        <v>588</v>
      </c>
      <c r="C493" s="4" t="s">
        <v>589</v>
      </c>
      <c r="D493" s="4" t="s">
        <v>376</v>
      </c>
      <c r="E493" s="4" t="s">
        <v>278</v>
      </c>
      <c r="F493" s="6">
        <v>42.5</v>
      </c>
      <c r="G493" s="6">
        <v>0</v>
      </c>
      <c r="H493" s="6">
        <f t="shared" si="22"/>
        <v>59.5</v>
      </c>
      <c r="I493" s="6">
        <f t="shared" si="24"/>
        <v>59.5</v>
      </c>
      <c r="J493" t="s">
        <v>1826</v>
      </c>
    </row>
    <row r="494" spans="1:10" x14ac:dyDescent="0.35">
      <c r="A494" t="s">
        <v>1213</v>
      </c>
      <c r="B494" s="4" t="s">
        <v>590</v>
      </c>
      <c r="C494" s="4" t="s">
        <v>589</v>
      </c>
      <c r="D494" s="4" t="s">
        <v>376</v>
      </c>
      <c r="E494" s="4" t="s">
        <v>278</v>
      </c>
      <c r="F494" s="6">
        <v>42.5</v>
      </c>
      <c r="G494" s="6">
        <v>0</v>
      </c>
      <c r="H494" s="6">
        <f t="shared" si="22"/>
        <v>59.5</v>
      </c>
      <c r="I494" s="6">
        <f t="shared" si="24"/>
        <v>59.5</v>
      </c>
      <c r="J494" t="s">
        <v>1827</v>
      </c>
    </row>
    <row r="495" spans="1:10" x14ac:dyDescent="0.35">
      <c r="A495" t="s">
        <v>1214</v>
      </c>
      <c r="B495" s="4" t="s">
        <v>591</v>
      </c>
      <c r="C495" s="4" t="s">
        <v>589</v>
      </c>
      <c r="D495" s="4" t="s">
        <v>376</v>
      </c>
      <c r="E495" s="4" t="s">
        <v>278</v>
      </c>
      <c r="F495" s="6">
        <v>42.5</v>
      </c>
      <c r="G495" s="6">
        <v>0</v>
      </c>
      <c r="H495" s="6">
        <f t="shared" si="22"/>
        <v>59.5</v>
      </c>
      <c r="I495" s="6">
        <f t="shared" si="24"/>
        <v>59.5</v>
      </c>
      <c r="J495" t="s">
        <v>1828</v>
      </c>
    </row>
    <row r="496" spans="1:10" x14ac:dyDescent="0.35">
      <c r="A496" t="s">
        <v>1215</v>
      </c>
      <c r="B496" s="4" t="s">
        <v>592</v>
      </c>
      <c r="C496" s="4" t="s">
        <v>593</v>
      </c>
      <c r="D496" s="4" t="s">
        <v>376</v>
      </c>
      <c r="E496" s="4" t="s">
        <v>585</v>
      </c>
      <c r="F496" s="6">
        <v>30.6</v>
      </c>
      <c r="G496" s="6">
        <v>0</v>
      </c>
      <c r="H496" s="6">
        <f t="shared" si="22"/>
        <v>42.84</v>
      </c>
      <c r="I496" s="6">
        <f t="shared" si="24"/>
        <v>42.84</v>
      </c>
      <c r="J496" t="s">
        <v>1829</v>
      </c>
    </row>
    <row r="497" spans="1:10" x14ac:dyDescent="0.35">
      <c r="A497" t="s">
        <v>1216</v>
      </c>
      <c r="B497" s="4" t="s">
        <v>594</v>
      </c>
      <c r="C497" s="4" t="s">
        <v>595</v>
      </c>
      <c r="D497" s="4" t="s">
        <v>376</v>
      </c>
      <c r="E497" s="4" t="s">
        <v>278</v>
      </c>
      <c r="F497" s="6">
        <v>75</v>
      </c>
      <c r="G497" s="6">
        <v>0</v>
      </c>
      <c r="H497" s="6">
        <f t="shared" si="22"/>
        <v>105</v>
      </c>
      <c r="I497" s="6">
        <f t="shared" si="24"/>
        <v>105</v>
      </c>
      <c r="J497" t="s">
        <v>1830</v>
      </c>
    </row>
    <row r="498" spans="1:10" x14ac:dyDescent="0.35">
      <c r="A498" t="s">
        <v>1217</v>
      </c>
      <c r="B498" s="4" t="s">
        <v>596</v>
      </c>
      <c r="C498" s="4" t="s">
        <v>595</v>
      </c>
      <c r="D498" s="4" t="s">
        <v>376</v>
      </c>
      <c r="E498" s="4" t="s">
        <v>278</v>
      </c>
      <c r="F498" s="6">
        <v>75</v>
      </c>
      <c r="G498" s="6">
        <v>0</v>
      </c>
      <c r="H498" s="6">
        <f t="shared" si="22"/>
        <v>105</v>
      </c>
      <c r="I498" s="6">
        <f t="shared" si="24"/>
        <v>105</v>
      </c>
      <c r="J498" t="s">
        <v>1831</v>
      </c>
    </row>
    <row r="499" spans="1:10" x14ac:dyDescent="0.35">
      <c r="A499" t="s">
        <v>1218</v>
      </c>
      <c r="B499" s="4" t="s">
        <v>597</v>
      </c>
      <c r="C499" s="4" t="s">
        <v>598</v>
      </c>
      <c r="D499" s="4" t="s">
        <v>376</v>
      </c>
      <c r="E499" s="4" t="s">
        <v>278</v>
      </c>
      <c r="F499" s="6">
        <v>35.979999999999997</v>
      </c>
      <c r="G499" s="6">
        <v>0</v>
      </c>
      <c r="H499" s="6">
        <f t="shared" si="22"/>
        <v>50.372</v>
      </c>
      <c r="I499" s="6">
        <f t="shared" si="24"/>
        <v>50.372</v>
      </c>
      <c r="J499" t="s">
        <v>1832</v>
      </c>
    </row>
    <row r="500" spans="1:10" x14ac:dyDescent="0.35">
      <c r="A500" t="s">
        <v>1219</v>
      </c>
      <c r="B500" s="4" t="s">
        <v>599</v>
      </c>
      <c r="C500" s="4" t="s">
        <v>600</v>
      </c>
      <c r="D500" s="4" t="s">
        <v>376</v>
      </c>
      <c r="E500" s="4" t="s">
        <v>400</v>
      </c>
      <c r="F500" s="6">
        <v>56.77</v>
      </c>
      <c r="G500" s="6">
        <v>0</v>
      </c>
      <c r="H500" s="6">
        <f t="shared" si="22"/>
        <v>79.478000000000009</v>
      </c>
      <c r="I500" s="6">
        <f t="shared" si="24"/>
        <v>79.478000000000009</v>
      </c>
      <c r="J500" t="s">
        <v>1833</v>
      </c>
    </row>
    <row r="501" spans="1:10" x14ac:dyDescent="0.35">
      <c r="A501" t="s">
        <v>1220</v>
      </c>
      <c r="B501" s="4" t="s">
        <v>601</v>
      </c>
      <c r="C501" s="4" t="s">
        <v>602</v>
      </c>
      <c r="D501" s="4" t="s">
        <v>376</v>
      </c>
      <c r="E501" s="4" t="s">
        <v>603</v>
      </c>
      <c r="F501" s="6">
        <v>25.49</v>
      </c>
      <c r="G501" s="6">
        <v>0</v>
      </c>
      <c r="H501" s="6">
        <f t="shared" si="22"/>
        <v>35.686</v>
      </c>
      <c r="I501" s="6">
        <f t="shared" si="24"/>
        <v>35.686</v>
      </c>
      <c r="J501" t="s">
        <v>1834</v>
      </c>
    </row>
    <row r="502" spans="1:10" x14ac:dyDescent="0.35">
      <c r="A502" t="s">
        <v>1221</v>
      </c>
      <c r="B502" s="4" t="s">
        <v>1838</v>
      </c>
      <c r="C502" s="4" t="s">
        <v>604</v>
      </c>
      <c r="D502" s="4" t="s">
        <v>376</v>
      </c>
      <c r="E502" s="4" t="s">
        <v>603</v>
      </c>
      <c r="F502" s="6">
        <v>26.4</v>
      </c>
      <c r="G502" s="6">
        <v>0</v>
      </c>
      <c r="H502" s="6">
        <f t="shared" si="22"/>
        <v>36.96</v>
      </c>
      <c r="I502" s="6">
        <f t="shared" si="24"/>
        <v>36.96</v>
      </c>
      <c r="J502" t="s">
        <v>1835</v>
      </c>
    </row>
    <row r="503" spans="1:10" x14ac:dyDescent="0.35">
      <c r="A503" t="s">
        <v>1222</v>
      </c>
      <c r="B503" s="4" t="s">
        <v>1841</v>
      </c>
      <c r="C503" s="4" t="s">
        <v>604</v>
      </c>
      <c r="D503" s="4" t="s">
        <v>376</v>
      </c>
      <c r="E503" s="4" t="s">
        <v>603</v>
      </c>
      <c r="F503" s="6">
        <v>0</v>
      </c>
      <c r="G503" s="6">
        <v>0</v>
      </c>
      <c r="H503" s="6">
        <f t="shared" si="22"/>
        <v>0</v>
      </c>
      <c r="I503" s="6">
        <f t="shared" si="24"/>
        <v>0</v>
      </c>
      <c r="J503" t="s">
        <v>1836</v>
      </c>
    </row>
    <row r="504" spans="1:10" x14ac:dyDescent="0.35">
      <c r="A504" t="s">
        <v>1223</v>
      </c>
      <c r="B504" s="4" t="s">
        <v>1842</v>
      </c>
      <c r="C504" s="4" t="s">
        <v>604</v>
      </c>
      <c r="D504" s="4" t="s">
        <v>376</v>
      </c>
      <c r="E504" s="4" t="s">
        <v>603</v>
      </c>
      <c r="F504" s="6">
        <v>0</v>
      </c>
      <c r="G504" s="6">
        <v>0</v>
      </c>
      <c r="H504" s="6">
        <f t="shared" si="22"/>
        <v>0</v>
      </c>
      <c r="I504" s="6">
        <f t="shared" si="24"/>
        <v>0</v>
      </c>
      <c r="J504" t="s">
        <v>1837</v>
      </c>
    </row>
    <row r="505" spans="1:10" x14ac:dyDescent="0.35">
      <c r="A505" t="s">
        <v>1224</v>
      </c>
      <c r="B505" s="4" t="s">
        <v>1839</v>
      </c>
      <c r="C505" s="4" t="s">
        <v>604</v>
      </c>
      <c r="D505" s="4" t="s">
        <v>376</v>
      </c>
      <c r="E505" s="4" t="s">
        <v>603</v>
      </c>
      <c r="F505" s="6">
        <v>26.4</v>
      </c>
      <c r="G505" s="6">
        <v>0</v>
      </c>
      <c r="H505" s="6">
        <f t="shared" si="22"/>
        <v>36.96</v>
      </c>
      <c r="I505" s="6">
        <f t="shared" si="24"/>
        <v>36.96</v>
      </c>
      <c r="J505" t="s">
        <v>1843</v>
      </c>
    </row>
    <row r="506" spans="1:10" x14ac:dyDescent="0.35">
      <c r="A506" t="s">
        <v>1225</v>
      </c>
      <c r="B506" s="4" t="s">
        <v>1840</v>
      </c>
      <c r="C506" s="4" t="s">
        <v>604</v>
      </c>
      <c r="D506" s="4" t="s">
        <v>376</v>
      </c>
      <c r="E506" s="4" t="s">
        <v>603</v>
      </c>
      <c r="F506" s="6">
        <v>91.4</v>
      </c>
      <c r="G506" s="6">
        <v>0</v>
      </c>
      <c r="H506" s="6">
        <f t="shared" si="22"/>
        <v>127.96000000000001</v>
      </c>
      <c r="I506" s="6">
        <f t="shared" si="24"/>
        <v>127.96000000000001</v>
      </c>
      <c r="J506" t="s">
        <v>1844</v>
      </c>
    </row>
    <row r="507" spans="1:10" x14ac:dyDescent="0.35">
      <c r="A507" t="s">
        <v>1226</v>
      </c>
      <c r="B507" s="4" t="s">
        <v>605</v>
      </c>
      <c r="C507" s="4" t="s">
        <v>606</v>
      </c>
      <c r="D507" s="4" t="s">
        <v>376</v>
      </c>
      <c r="E507" s="4" t="s">
        <v>607</v>
      </c>
      <c r="F507" s="6">
        <v>75</v>
      </c>
      <c r="G507" s="6">
        <v>0</v>
      </c>
      <c r="H507" s="6">
        <f t="shared" si="22"/>
        <v>105</v>
      </c>
      <c r="I507" s="6">
        <f t="shared" si="24"/>
        <v>105</v>
      </c>
      <c r="J507" t="s">
        <v>1845</v>
      </c>
    </row>
    <row r="508" spans="1:10" x14ac:dyDescent="0.35">
      <c r="A508" t="s">
        <v>1227</v>
      </c>
      <c r="B508" s="4" t="s">
        <v>608</v>
      </c>
      <c r="C508" s="4" t="s">
        <v>609</v>
      </c>
      <c r="D508" s="4" t="s">
        <v>376</v>
      </c>
      <c r="E508" s="4" t="s">
        <v>610</v>
      </c>
      <c r="F508" s="6">
        <v>11.88</v>
      </c>
      <c r="G508" s="6">
        <v>0</v>
      </c>
      <c r="H508" s="6">
        <f t="shared" ref="H508:H515" si="25">(F508*0.4)+F508</f>
        <v>16.632000000000001</v>
      </c>
      <c r="I508" s="6">
        <f t="shared" si="24"/>
        <v>16.632000000000001</v>
      </c>
      <c r="J508" t="s">
        <v>1846</v>
      </c>
    </row>
    <row r="509" spans="1:10" x14ac:dyDescent="0.35">
      <c r="A509" t="s">
        <v>1228</v>
      </c>
      <c r="B509" s="4" t="s">
        <v>611</v>
      </c>
      <c r="C509" s="4" t="s">
        <v>612</v>
      </c>
      <c r="D509" s="4" t="s">
        <v>376</v>
      </c>
      <c r="E509" s="4" t="s">
        <v>610</v>
      </c>
      <c r="F509" s="6">
        <v>27.68</v>
      </c>
      <c r="G509" s="6">
        <v>0</v>
      </c>
      <c r="H509" s="6">
        <f t="shared" si="25"/>
        <v>38.752000000000002</v>
      </c>
      <c r="I509" s="6">
        <f t="shared" si="24"/>
        <v>38.752000000000002</v>
      </c>
      <c r="J509" t="s">
        <v>1847</v>
      </c>
    </row>
    <row r="510" spans="1:10" x14ac:dyDescent="0.35">
      <c r="A510" t="s">
        <v>1229</v>
      </c>
      <c r="B510" s="4" t="s">
        <v>613</v>
      </c>
      <c r="C510" s="4" t="s">
        <v>612</v>
      </c>
      <c r="D510" s="4" t="s">
        <v>376</v>
      </c>
      <c r="E510" s="4" t="s">
        <v>610</v>
      </c>
      <c r="F510" s="6">
        <v>28.74</v>
      </c>
      <c r="G510" s="6">
        <v>0</v>
      </c>
      <c r="H510" s="6">
        <f t="shared" si="25"/>
        <v>40.235999999999997</v>
      </c>
      <c r="I510" s="6">
        <f t="shared" si="24"/>
        <v>40.235999999999997</v>
      </c>
      <c r="J510" t="s">
        <v>1848</v>
      </c>
    </row>
    <row r="511" spans="1:10" x14ac:dyDescent="0.35">
      <c r="A511" t="s">
        <v>1230</v>
      </c>
      <c r="B511" s="4" t="s">
        <v>614</v>
      </c>
      <c r="C511" s="4" t="s">
        <v>615</v>
      </c>
      <c r="D511" s="4" t="s">
        <v>376</v>
      </c>
      <c r="E511" s="4" t="s">
        <v>610</v>
      </c>
      <c r="F511" s="6">
        <v>48.98</v>
      </c>
      <c r="G511" s="6">
        <v>0</v>
      </c>
      <c r="H511" s="6">
        <f t="shared" si="25"/>
        <v>68.572000000000003</v>
      </c>
      <c r="I511" s="6">
        <f t="shared" si="24"/>
        <v>68.572000000000003</v>
      </c>
      <c r="J511" t="s">
        <v>1849</v>
      </c>
    </row>
    <row r="512" spans="1:10" x14ac:dyDescent="0.35">
      <c r="A512" t="s">
        <v>1231</v>
      </c>
      <c r="B512" s="4" t="s">
        <v>616</v>
      </c>
      <c r="C512" s="4" t="s">
        <v>615</v>
      </c>
      <c r="D512" s="4" t="s">
        <v>376</v>
      </c>
      <c r="E512" s="4" t="s">
        <v>610</v>
      </c>
      <c r="F512" s="6">
        <v>50.59</v>
      </c>
      <c r="G512" s="6">
        <v>0</v>
      </c>
      <c r="H512" s="6">
        <f t="shared" si="25"/>
        <v>70.826000000000008</v>
      </c>
      <c r="I512" s="6">
        <f t="shared" si="24"/>
        <v>70.826000000000008</v>
      </c>
      <c r="J512" t="s">
        <v>1850</v>
      </c>
    </row>
    <row r="513" spans="1:10" x14ac:dyDescent="0.35">
      <c r="A513" t="s">
        <v>1232</v>
      </c>
      <c r="B513" s="4" t="s">
        <v>617</v>
      </c>
      <c r="C513" s="4" t="s">
        <v>615</v>
      </c>
      <c r="D513" s="4" t="s">
        <v>376</v>
      </c>
      <c r="E513" s="4" t="s">
        <v>610</v>
      </c>
      <c r="F513" s="6">
        <v>50.6</v>
      </c>
      <c r="G513" s="6">
        <v>0</v>
      </c>
      <c r="H513" s="6">
        <f t="shared" si="25"/>
        <v>70.84</v>
      </c>
      <c r="I513" s="6">
        <f t="shared" si="24"/>
        <v>70.84</v>
      </c>
      <c r="J513" t="s">
        <v>1851</v>
      </c>
    </row>
    <row r="514" spans="1:10" x14ac:dyDescent="0.35">
      <c r="A514" t="s">
        <v>1233</v>
      </c>
      <c r="B514" s="4" t="s">
        <v>618</v>
      </c>
      <c r="C514" s="4" t="s">
        <v>619</v>
      </c>
      <c r="D514" s="4" t="s">
        <v>376</v>
      </c>
      <c r="E514" s="4" t="s">
        <v>610</v>
      </c>
      <c r="F514" s="6">
        <v>19.2</v>
      </c>
      <c r="G514" s="6">
        <v>0</v>
      </c>
      <c r="H514" s="6">
        <f t="shared" si="25"/>
        <v>26.88</v>
      </c>
      <c r="I514" s="6">
        <f t="shared" ref="I514:I515" si="26">((F514+G514)*0.4)+(F514+G514)</f>
        <v>26.88</v>
      </c>
      <c r="J514" t="s">
        <v>1852</v>
      </c>
    </row>
    <row r="515" spans="1:10" x14ac:dyDescent="0.35">
      <c r="A515" t="s">
        <v>1234</v>
      </c>
      <c r="B515" s="4" t="s">
        <v>620</v>
      </c>
      <c r="C515" s="4" t="s">
        <v>621</v>
      </c>
      <c r="D515" s="4" t="s">
        <v>376</v>
      </c>
      <c r="E515" s="4" t="s">
        <v>610</v>
      </c>
      <c r="F515" s="6">
        <v>24.04</v>
      </c>
      <c r="G515" s="6">
        <v>0</v>
      </c>
      <c r="H515" s="6">
        <f t="shared" si="25"/>
        <v>33.655999999999999</v>
      </c>
      <c r="I515" s="6">
        <f t="shared" si="26"/>
        <v>33.655999999999999</v>
      </c>
      <c r="J515" t="s">
        <v>1853</v>
      </c>
    </row>
    <row r="516" spans="1:10" x14ac:dyDescent="0.35">
      <c r="A516" t="s">
        <v>1235</v>
      </c>
      <c r="B516" s="4" t="s">
        <v>622</v>
      </c>
      <c r="C516" s="4" t="s">
        <v>296</v>
      </c>
      <c r="D516" s="4" t="s">
        <v>376</v>
      </c>
      <c r="E516" s="4" t="s">
        <v>610</v>
      </c>
      <c r="F516" s="6">
        <v>18.149999999999999</v>
      </c>
      <c r="G516" s="6">
        <v>0</v>
      </c>
      <c r="H516" s="6">
        <f>(F516*0.4)+F516</f>
        <v>25.409999999999997</v>
      </c>
      <c r="I516" s="6">
        <f>((F516+G516)*0.4)+(F516+G516)</f>
        <v>25.409999999999997</v>
      </c>
      <c r="J516" t="s">
        <v>1854</v>
      </c>
    </row>
    <row r="517" spans="1:10" x14ac:dyDescent="0.35">
      <c r="A517" t="s">
        <v>1236</v>
      </c>
      <c r="B517" s="4" t="s">
        <v>623</v>
      </c>
      <c r="C517" s="4" t="s">
        <v>624</v>
      </c>
      <c r="D517" s="4" t="s">
        <v>625</v>
      </c>
      <c r="E517" s="4" t="s">
        <v>626</v>
      </c>
      <c r="F517" s="6">
        <v>5.58</v>
      </c>
      <c r="G517" s="6">
        <v>0</v>
      </c>
      <c r="H517" s="6">
        <f>(F517*0.5)+F517</f>
        <v>8.370000000000001</v>
      </c>
      <c r="I517" s="6">
        <f t="shared" ref="I517:I556" si="27">((F517+G517)*0.5)+(F517+G517)</f>
        <v>8.370000000000001</v>
      </c>
      <c r="J517" t="s">
        <v>1855</v>
      </c>
    </row>
    <row r="518" spans="1:10" x14ac:dyDescent="0.35">
      <c r="A518" t="s">
        <v>1237</v>
      </c>
      <c r="B518" s="4" t="s">
        <v>627</v>
      </c>
      <c r="C518" s="4" t="s">
        <v>628</v>
      </c>
      <c r="D518" s="4" t="s">
        <v>625</v>
      </c>
      <c r="E518" s="4" t="s">
        <v>626</v>
      </c>
      <c r="F518" s="6">
        <v>15.76</v>
      </c>
      <c r="G518" s="6">
        <v>0</v>
      </c>
      <c r="H518" s="6">
        <f t="shared" ref="H518:H581" si="28">(F518*0.5)+F518</f>
        <v>23.64</v>
      </c>
      <c r="I518" s="6">
        <f t="shared" si="27"/>
        <v>23.64</v>
      </c>
      <c r="J518" t="s">
        <v>1856</v>
      </c>
    </row>
    <row r="519" spans="1:10" x14ac:dyDescent="0.35">
      <c r="A519" t="s">
        <v>1238</v>
      </c>
      <c r="B519" s="4" t="s">
        <v>629</v>
      </c>
      <c r="C519" s="4" t="s">
        <v>630</v>
      </c>
      <c r="D519" s="4" t="s">
        <v>625</v>
      </c>
      <c r="E519" s="4" t="s">
        <v>626</v>
      </c>
      <c r="F519" s="6">
        <v>10.27</v>
      </c>
      <c r="G519" s="6">
        <v>0</v>
      </c>
      <c r="H519" s="6">
        <f t="shared" si="28"/>
        <v>15.404999999999999</v>
      </c>
      <c r="I519" s="6">
        <f t="shared" si="27"/>
        <v>15.404999999999999</v>
      </c>
      <c r="J519" t="s">
        <v>1857</v>
      </c>
    </row>
    <row r="520" spans="1:10" x14ac:dyDescent="0.35">
      <c r="A520" t="s">
        <v>1239</v>
      </c>
      <c r="B520" s="4" t="s">
        <v>631</v>
      </c>
      <c r="C520" s="4" t="s">
        <v>632</v>
      </c>
      <c r="D520" s="4" t="s">
        <v>625</v>
      </c>
      <c r="E520" s="4" t="s">
        <v>626</v>
      </c>
      <c r="F520" s="6">
        <v>9.32</v>
      </c>
      <c r="G520" s="6">
        <v>0</v>
      </c>
      <c r="H520" s="6">
        <f t="shared" si="28"/>
        <v>13.98</v>
      </c>
      <c r="I520" s="6">
        <f t="shared" si="27"/>
        <v>13.98</v>
      </c>
      <c r="J520" t="s">
        <v>1858</v>
      </c>
    </row>
    <row r="521" spans="1:10" x14ac:dyDescent="0.35">
      <c r="A521" t="s">
        <v>1240</v>
      </c>
      <c r="B521" s="4" t="s">
        <v>633</v>
      </c>
      <c r="C521" s="4" t="s">
        <v>634</v>
      </c>
      <c r="D521" s="4" t="s">
        <v>625</v>
      </c>
      <c r="E521" s="4" t="s">
        <v>626</v>
      </c>
      <c r="F521" s="6">
        <v>12.45</v>
      </c>
      <c r="G521" s="6">
        <v>0</v>
      </c>
      <c r="H521" s="6">
        <f t="shared" si="28"/>
        <v>18.674999999999997</v>
      </c>
      <c r="I521" s="6">
        <f t="shared" si="27"/>
        <v>18.674999999999997</v>
      </c>
      <c r="J521" t="s">
        <v>1859</v>
      </c>
    </row>
    <row r="522" spans="1:10" x14ac:dyDescent="0.35">
      <c r="A522" t="s">
        <v>1241</v>
      </c>
      <c r="B522" s="4" t="s">
        <v>635</v>
      </c>
      <c r="C522" s="4" t="s">
        <v>634</v>
      </c>
      <c r="D522" s="4" t="s">
        <v>625</v>
      </c>
      <c r="E522" s="4" t="s">
        <v>626</v>
      </c>
      <c r="F522" s="6">
        <v>10.75</v>
      </c>
      <c r="G522" s="6">
        <v>0</v>
      </c>
      <c r="H522" s="6">
        <f t="shared" si="28"/>
        <v>16.125</v>
      </c>
      <c r="I522" s="6">
        <f t="shared" si="27"/>
        <v>16.125</v>
      </c>
      <c r="J522" t="s">
        <v>1860</v>
      </c>
    </row>
    <row r="523" spans="1:10" x14ac:dyDescent="0.35">
      <c r="A523" t="s">
        <v>1242</v>
      </c>
      <c r="B523" s="4" t="s">
        <v>1863</v>
      </c>
      <c r="C523" s="4" t="s">
        <v>634</v>
      </c>
      <c r="D523" s="4" t="s">
        <v>625</v>
      </c>
      <c r="E523" s="4" t="s">
        <v>626</v>
      </c>
      <c r="F523" s="6">
        <v>20.85</v>
      </c>
      <c r="G523" s="6">
        <v>0</v>
      </c>
      <c r="H523" s="6">
        <f t="shared" si="28"/>
        <v>31.275000000000002</v>
      </c>
      <c r="I523" s="6">
        <f t="shared" si="27"/>
        <v>31.275000000000002</v>
      </c>
      <c r="J523" t="s">
        <v>1861</v>
      </c>
    </row>
    <row r="524" spans="1:10" x14ac:dyDescent="0.35">
      <c r="A524" t="s">
        <v>1243</v>
      </c>
      <c r="B524" s="4" t="s">
        <v>1864</v>
      </c>
      <c r="C524" s="4" t="s">
        <v>634</v>
      </c>
      <c r="D524" s="4" t="s">
        <v>625</v>
      </c>
      <c r="E524" s="4" t="s">
        <v>626</v>
      </c>
      <c r="F524" s="6">
        <v>12.45</v>
      </c>
      <c r="G524" s="6">
        <v>0</v>
      </c>
      <c r="H524" s="6">
        <f t="shared" si="28"/>
        <v>18.674999999999997</v>
      </c>
      <c r="I524" s="6">
        <f t="shared" si="27"/>
        <v>18.674999999999997</v>
      </c>
      <c r="J524" t="s">
        <v>1862</v>
      </c>
    </row>
    <row r="525" spans="1:10" x14ac:dyDescent="0.35">
      <c r="A525" t="s">
        <v>1244</v>
      </c>
      <c r="B525" s="4" t="s">
        <v>636</v>
      </c>
      <c r="C525" s="4" t="s">
        <v>634</v>
      </c>
      <c r="D525" s="4" t="s">
        <v>625</v>
      </c>
      <c r="E525" s="4" t="s">
        <v>626</v>
      </c>
      <c r="F525" s="6">
        <v>12.25</v>
      </c>
      <c r="G525" s="6">
        <v>0</v>
      </c>
      <c r="H525" s="6">
        <f t="shared" si="28"/>
        <v>18.375</v>
      </c>
      <c r="I525" s="6">
        <f t="shared" si="27"/>
        <v>18.375</v>
      </c>
      <c r="J525" t="s">
        <v>1865</v>
      </c>
    </row>
    <row r="526" spans="1:10" x14ac:dyDescent="0.35">
      <c r="A526" t="s">
        <v>1245</v>
      </c>
      <c r="B526" s="4" t="s">
        <v>637</v>
      </c>
      <c r="C526" s="4" t="s">
        <v>634</v>
      </c>
      <c r="D526" s="4" t="s">
        <v>625</v>
      </c>
      <c r="E526" s="4" t="s">
        <v>626</v>
      </c>
      <c r="F526" s="6">
        <v>9.69</v>
      </c>
      <c r="G526" s="6">
        <v>0</v>
      </c>
      <c r="H526" s="6">
        <f t="shared" si="28"/>
        <v>14.535</v>
      </c>
      <c r="I526" s="6">
        <f t="shared" si="27"/>
        <v>14.535</v>
      </c>
      <c r="J526" t="s">
        <v>1866</v>
      </c>
    </row>
    <row r="527" spans="1:10" x14ac:dyDescent="0.35">
      <c r="A527" t="s">
        <v>1246</v>
      </c>
      <c r="B527" s="4" t="s">
        <v>638</v>
      </c>
      <c r="C527" s="4" t="s">
        <v>634</v>
      </c>
      <c r="D527" s="4" t="s">
        <v>625</v>
      </c>
      <c r="E527" s="4" t="s">
        <v>626</v>
      </c>
      <c r="F527" s="6">
        <v>11.51</v>
      </c>
      <c r="G527" s="6">
        <v>0</v>
      </c>
      <c r="H527" s="6">
        <f t="shared" si="28"/>
        <v>17.265000000000001</v>
      </c>
      <c r="I527" s="6">
        <f t="shared" si="27"/>
        <v>17.265000000000001</v>
      </c>
      <c r="J527" t="s">
        <v>1867</v>
      </c>
    </row>
    <row r="528" spans="1:10" x14ac:dyDescent="0.35">
      <c r="A528" t="s">
        <v>1247</v>
      </c>
      <c r="B528" s="4" t="s">
        <v>639</v>
      </c>
      <c r="C528" s="4" t="s">
        <v>634</v>
      </c>
      <c r="D528" s="4" t="s">
        <v>625</v>
      </c>
      <c r="E528" s="4" t="s">
        <v>626</v>
      </c>
      <c r="F528" s="6">
        <v>8.84</v>
      </c>
      <c r="G528" s="6">
        <v>0</v>
      </c>
      <c r="H528" s="6">
        <f t="shared" si="28"/>
        <v>13.26</v>
      </c>
      <c r="I528" s="6">
        <f t="shared" si="27"/>
        <v>13.26</v>
      </c>
      <c r="J528" t="s">
        <v>1868</v>
      </c>
    </row>
    <row r="529" spans="1:10" x14ac:dyDescent="0.35">
      <c r="A529" t="s">
        <v>1248</v>
      </c>
      <c r="B529" s="4" t="s">
        <v>640</v>
      </c>
      <c r="C529" s="4" t="s">
        <v>641</v>
      </c>
      <c r="D529" s="4" t="s">
        <v>625</v>
      </c>
      <c r="E529" s="4" t="s">
        <v>626</v>
      </c>
      <c r="F529" s="6">
        <v>6.61</v>
      </c>
      <c r="G529" s="6">
        <v>0</v>
      </c>
      <c r="H529" s="6">
        <f t="shared" si="28"/>
        <v>9.9150000000000009</v>
      </c>
      <c r="I529" s="6">
        <f t="shared" si="27"/>
        <v>9.9150000000000009</v>
      </c>
      <c r="J529" t="s">
        <v>1869</v>
      </c>
    </row>
    <row r="530" spans="1:10" x14ac:dyDescent="0.35">
      <c r="A530" t="s">
        <v>1249</v>
      </c>
      <c r="B530" s="4" t="s">
        <v>642</v>
      </c>
      <c r="C530" s="4" t="s">
        <v>641</v>
      </c>
      <c r="D530" s="4" t="s">
        <v>625</v>
      </c>
      <c r="E530" s="4" t="s">
        <v>626</v>
      </c>
      <c r="F530" s="6">
        <v>7.94</v>
      </c>
      <c r="G530" s="6">
        <v>0</v>
      </c>
      <c r="H530" s="6">
        <f t="shared" si="28"/>
        <v>11.91</v>
      </c>
      <c r="I530" s="6">
        <f t="shared" si="27"/>
        <v>11.91</v>
      </c>
      <c r="J530" t="s">
        <v>1870</v>
      </c>
    </row>
    <row r="531" spans="1:10" x14ac:dyDescent="0.35">
      <c r="A531" t="s">
        <v>1250</v>
      </c>
      <c r="B531" s="4" t="s">
        <v>643</v>
      </c>
      <c r="C531" s="4" t="s">
        <v>641</v>
      </c>
      <c r="D531" s="4" t="s">
        <v>625</v>
      </c>
      <c r="E531" s="4" t="s">
        <v>626</v>
      </c>
      <c r="F531" s="6">
        <v>5.76</v>
      </c>
      <c r="G531" s="6">
        <v>0</v>
      </c>
      <c r="H531" s="6">
        <f t="shared" si="28"/>
        <v>8.64</v>
      </c>
      <c r="I531" s="6">
        <f t="shared" si="27"/>
        <v>8.64</v>
      </c>
      <c r="J531" t="s">
        <v>1871</v>
      </c>
    </row>
    <row r="532" spans="1:10" x14ac:dyDescent="0.35">
      <c r="A532" t="s">
        <v>1251</v>
      </c>
      <c r="B532" s="4" t="s">
        <v>644</v>
      </c>
      <c r="C532" s="4" t="s">
        <v>641</v>
      </c>
      <c r="D532" s="4" t="s">
        <v>625</v>
      </c>
      <c r="E532" s="4" t="s">
        <v>626</v>
      </c>
      <c r="F532" s="6">
        <v>5.76</v>
      </c>
      <c r="G532" s="6">
        <v>0</v>
      </c>
      <c r="H532" s="6">
        <f t="shared" si="28"/>
        <v>8.64</v>
      </c>
      <c r="I532" s="6">
        <f t="shared" si="27"/>
        <v>8.64</v>
      </c>
      <c r="J532" t="s">
        <v>1872</v>
      </c>
    </row>
    <row r="533" spans="1:10" x14ac:dyDescent="0.35">
      <c r="A533" t="s">
        <v>1252</v>
      </c>
      <c r="B533" s="4" t="s">
        <v>645</v>
      </c>
      <c r="C533" s="4" t="s">
        <v>641</v>
      </c>
      <c r="D533" s="4" t="s">
        <v>625</v>
      </c>
      <c r="E533" s="4" t="s">
        <v>626</v>
      </c>
      <c r="F533" s="6">
        <v>7.59</v>
      </c>
      <c r="G533" s="6">
        <v>0</v>
      </c>
      <c r="H533" s="6">
        <f t="shared" si="28"/>
        <v>11.385</v>
      </c>
      <c r="I533" s="6">
        <f t="shared" si="27"/>
        <v>11.385</v>
      </c>
      <c r="J533" t="s">
        <v>1873</v>
      </c>
    </row>
    <row r="534" spans="1:10" x14ac:dyDescent="0.35">
      <c r="A534" t="s">
        <v>1253</v>
      </c>
      <c r="B534" s="4" t="s">
        <v>1874</v>
      </c>
      <c r="C534" s="4" t="s">
        <v>641</v>
      </c>
      <c r="D534" s="4" t="s">
        <v>625</v>
      </c>
      <c r="E534" s="4" t="s">
        <v>626</v>
      </c>
      <c r="F534" s="6">
        <v>0</v>
      </c>
      <c r="G534" s="6">
        <v>0</v>
      </c>
      <c r="H534" s="6">
        <f t="shared" ref="H534" si="29">(F534*0.4)+F534</f>
        <v>0</v>
      </c>
      <c r="I534" s="6">
        <f t="shared" ref="I534" si="30">((F534+G534)*0.4)+(F534+G534)</f>
        <v>0</v>
      </c>
      <c r="J534" t="s">
        <v>1875</v>
      </c>
    </row>
    <row r="535" spans="1:10" x14ac:dyDescent="0.35">
      <c r="A535" t="s">
        <v>1254</v>
      </c>
      <c r="B535" s="4" t="s">
        <v>646</v>
      </c>
      <c r="C535" s="4" t="s">
        <v>641</v>
      </c>
      <c r="D535" s="4" t="s">
        <v>625</v>
      </c>
      <c r="E535" s="4" t="s">
        <v>626</v>
      </c>
      <c r="F535" s="6">
        <v>11.11</v>
      </c>
      <c r="G535" s="6">
        <v>0</v>
      </c>
      <c r="H535" s="6">
        <f t="shared" si="28"/>
        <v>16.664999999999999</v>
      </c>
      <c r="I535" s="6">
        <f t="shared" si="27"/>
        <v>16.664999999999999</v>
      </c>
      <c r="J535" t="s">
        <v>1876</v>
      </c>
    </row>
    <row r="536" spans="1:10" x14ac:dyDescent="0.35">
      <c r="A536" t="s">
        <v>1255</v>
      </c>
      <c r="B536" s="4" t="s">
        <v>647</v>
      </c>
      <c r="C536" s="4" t="s">
        <v>641</v>
      </c>
      <c r="D536" s="4" t="s">
        <v>625</v>
      </c>
      <c r="E536" s="4" t="s">
        <v>626</v>
      </c>
      <c r="F536" s="6">
        <v>12.73</v>
      </c>
      <c r="G536" s="6">
        <v>0</v>
      </c>
      <c r="H536" s="6">
        <f t="shared" si="28"/>
        <v>19.094999999999999</v>
      </c>
      <c r="I536" s="6">
        <f t="shared" si="27"/>
        <v>19.094999999999999</v>
      </c>
      <c r="J536" t="s">
        <v>1877</v>
      </c>
    </row>
    <row r="537" spans="1:10" x14ac:dyDescent="0.35">
      <c r="A537" t="s">
        <v>1256</v>
      </c>
      <c r="B537" s="4" t="s">
        <v>648</v>
      </c>
      <c r="C537" s="4" t="s">
        <v>649</v>
      </c>
      <c r="D537" s="4" t="s">
        <v>625</v>
      </c>
      <c r="E537" s="4" t="s">
        <v>626</v>
      </c>
      <c r="F537" s="6">
        <v>5.5</v>
      </c>
      <c r="G537" s="6">
        <v>0</v>
      </c>
      <c r="H537" s="6">
        <f t="shared" si="28"/>
        <v>8.25</v>
      </c>
      <c r="I537" s="6">
        <f t="shared" si="27"/>
        <v>8.25</v>
      </c>
      <c r="J537" t="s">
        <v>1878</v>
      </c>
    </row>
    <row r="538" spans="1:10" x14ac:dyDescent="0.35">
      <c r="A538" t="s">
        <v>1257</v>
      </c>
      <c r="B538" s="4" t="s">
        <v>650</v>
      </c>
      <c r="C538" s="4" t="s">
        <v>649</v>
      </c>
      <c r="D538" s="4" t="s">
        <v>625</v>
      </c>
      <c r="E538" s="4" t="s">
        <v>626</v>
      </c>
      <c r="F538" s="6">
        <v>19.21</v>
      </c>
      <c r="G538" s="6">
        <v>0</v>
      </c>
      <c r="H538" s="6">
        <f t="shared" si="28"/>
        <v>28.815000000000001</v>
      </c>
      <c r="I538" s="6">
        <f t="shared" si="27"/>
        <v>28.815000000000001</v>
      </c>
      <c r="J538" t="s">
        <v>1879</v>
      </c>
    </row>
    <row r="539" spans="1:10" x14ac:dyDescent="0.35">
      <c r="A539" t="s">
        <v>1258</v>
      </c>
      <c r="B539" s="4" t="s">
        <v>651</v>
      </c>
      <c r="C539" s="4" t="s">
        <v>649</v>
      </c>
      <c r="D539" s="4" t="s">
        <v>625</v>
      </c>
      <c r="E539" s="4" t="s">
        <v>626</v>
      </c>
      <c r="F539" s="6">
        <v>7.54</v>
      </c>
      <c r="G539" s="6">
        <v>0</v>
      </c>
      <c r="H539" s="6">
        <f t="shared" si="28"/>
        <v>11.31</v>
      </c>
      <c r="I539" s="6">
        <f t="shared" si="27"/>
        <v>11.31</v>
      </c>
      <c r="J539" t="s">
        <v>1880</v>
      </c>
    </row>
    <row r="540" spans="1:10" x14ac:dyDescent="0.35">
      <c r="A540" t="s">
        <v>1259</v>
      </c>
      <c r="B540" s="4" t="s">
        <v>652</v>
      </c>
      <c r="C540" s="4" t="s">
        <v>649</v>
      </c>
      <c r="D540" s="4" t="s">
        <v>625</v>
      </c>
      <c r="E540" s="4" t="s">
        <v>626</v>
      </c>
      <c r="F540" s="6">
        <v>4.95</v>
      </c>
      <c r="G540" s="6">
        <v>0</v>
      </c>
      <c r="H540" s="6">
        <f t="shared" si="28"/>
        <v>7.4250000000000007</v>
      </c>
      <c r="I540" s="6">
        <f t="shared" si="27"/>
        <v>7.4250000000000007</v>
      </c>
      <c r="J540" t="s">
        <v>1881</v>
      </c>
    </row>
    <row r="541" spans="1:10" x14ac:dyDescent="0.35">
      <c r="A541" t="s">
        <v>1260</v>
      </c>
      <c r="B541" s="4" t="s">
        <v>653</v>
      </c>
      <c r="C541" s="4" t="s">
        <v>649</v>
      </c>
      <c r="D541" s="4" t="s">
        <v>625</v>
      </c>
      <c r="E541" s="4" t="s">
        <v>626</v>
      </c>
      <c r="F541" s="6">
        <v>10.82</v>
      </c>
      <c r="G541" s="6">
        <v>0</v>
      </c>
      <c r="H541" s="6">
        <f t="shared" si="28"/>
        <v>16.23</v>
      </c>
      <c r="I541" s="6">
        <f t="shared" si="27"/>
        <v>16.23</v>
      </c>
      <c r="J541" t="s">
        <v>1882</v>
      </c>
    </row>
    <row r="542" spans="1:10" x14ac:dyDescent="0.35">
      <c r="A542" t="s">
        <v>1261</v>
      </c>
      <c r="B542" s="4" t="s">
        <v>654</v>
      </c>
      <c r="C542" s="4" t="s">
        <v>649</v>
      </c>
      <c r="D542" s="4" t="s">
        <v>625</v>
      </c>
      <c r="E542" s="4" t="s">
        <v>626</v>
      </c>
      <c r="F542" s="6">
        <v>10.97</v>
      </c>
      <c r="G542" s="6">
        <v>0</v>
      </c>
      <c r="H542" s="6">
        <f t="shared" si="28"/>
        <v>16.455000000000002</v>
      </c>
      <c r="I542" s="6">
        <f t="shared" si="27"/>
        <v>16.455000000000002</v>
      </c>
      <c r="J542" t="s">
        <v>1883</v>
      </c>
    </row>
    <row r="543" spans="1:10" x14ac:dyDescent="0.35">
      <c r="A543" t="s">
        <v>1262</v>
      </c>
      <c r="B543" s="4" t="s">
        <v>655</v>
      </c>
      <c r="C543" s="4" t="s">
        <v>656</v>
      </c>
      <c r="D543" s="4" t="s">
        <v>625</v>
      </c>
      <c r="E543" s="4" t="s">
        <v>626</v>
      </c>
      <c r="F543" s="6">
        <v>2.82</v>
      </c>
      <c r="G543" s="6">
        <v>0</v>
      </c>
      <c r="H543" s="6">
        <f t="shared" si="28"/>
        <v>4.2299999999999995</v>
      </c>
      <c r="I543" s="6">
        <f t="shared" si="27"/>
        <v>4.2299999999999995</v>
      </c>
      <c r="J543" t="s">
        <v>1884</v>
      </c>
    </row>
    <row r="544" spans="1:10" x14ac:dyDescent="0.35">
      <c r="A544" t="s">
        <v>1263</v>
      </c>
      <c r="B544" s="4" t="s">
        <v>657</v>
      </c>
      <c r="C544" s="4" t="s">
        <v>658</v>
      </c>
      <c r="D544" s="4" t="s">
        <v>625</v>
      </c>
      <c r="E544" s="4" t="s">
        <v>626</v>
      </c>
      <c r="F544" s="6">
        <v>5.75</v>
      </c>
      <c r="G544" s="6">
        <v>0</v>
      </c>
      <c r="H544" s="6">
        <f t="shared" si="28"/>
        <v>8.625</v>
      </c>
      <c r="I544" s="6">
        <f t="shared" si="27"/>
        <v>8.625</v>
      </c>
      <c r="J544" t="s">
        <v>1885</v>
      </c>
    </row>
    <row r="545" spans="1:10" x14ac:dyDescent="0.35">
      <c r="A545" t="s">
        <v>1264</v>
      </c>
      <c r="B545" s="4" t="s">
        <v>659</v>
      </c>
      <c r="C545" s="4" t="s">
        <v>660</v>
      </c>
      <c r="D545" s="4" t="s">
        <v>625</v>
      </c>
      <c r="E545" s="4" t="s">
        <v>626</v>
      </c>
      <c r="F545" s="6">
        <v>5.01</v>
      </c>
      <c r="G545" s="6">
        <v>0</v>
      </c>
      <c r="H545" s="6">
        <f t="shared" si="28"/>
        <v>7.5149999999999997</v>
      </c>
      <c r="I545" s="6">
        <f t="shared" si="27"/>
        <v>7.5149999999999997</v>
      </c>
      <c r="J545" t="s">
        <v>1886</v>
      </c>
    </row>
    <row r="546" spans="1:10" x14ac:dyDescent="0.35">
      <c r="A546" t="s">
        <v>1265</v>
      </c>
      <c r="B546" s="4" t="s">
        <v>661</v>
      </c>
      <c r="C546" s="4" t="s">
        <v>662</v>
      </c>
      <c r="D546" s="4" t="s">
        <v>625</v>
      </c>
      <c r="E546" s="4" t="s">
        <v>626</v>
      </c>
      <c r="F546" s="6">
        <v>10.32</v>
      </c>
      <c r="G546" s="6">
        <v>0</v>
      </c>
      <c r="H546" s="6">
        <f t="shared" si="28"/>
        <v>15.48</v>
      </c>
      <c r="I546" s="6">
        <f t="shared" si="27"/>
        <v>15.48</v>
      </c>
      <c r="J546" t="s">
        <v>1887</v>
      </c>
    </row>
    <row r="547" spans="1:10" x14ac:dyDescent="0.35">
      <c r="A547" t="s">
        <v>1266</v>
      </c>
      <c r="B547" s="4" t="s">
        <v>663</v>
      </c>
      <c r="C547" s="4" t="s">
        <v>664</v>
      </c>
      <c r="D547" s="4" t="s">
        <v>625</v>
      </c>
      <c r="E547" s="4" t="s">
        <v>626</v>
      </c>
      <c r="F547" s="6">
        <v>10.01</v>
      </c>
      <c r="G547" s="6">
        <v>0</v>
      </c>
      <c r="H547" s="6">
        <f t="shared" si="28"/>
        <v>15.015000000000001</v>
      </c>
      <c r="I547" s="6">
        <f t="shared" si="27"/>
        <v>15.015000000000001</v>
      </c>
      <c r="J547" t="s">
        <v>1888</v>
      </c>
    </row>
    <row r="548" spans="1:10" x14ac:dyDescent="0.35">
      <c r="A548" t="s">
        <v>1267</v>
      </c>
      <c r="B548" s="4" t="s">
        <v>665</v>
      </c>
      <c r="C548" s="4" t="s">
        <v>664</v>
      </c>
      <c r="D548" s="4" t="s">
        <v>625</v>
      </c>
      <c r="E548" s="4" t="s">
        <v>626</v>
      </c>
      <c r="F548" s="6">
        <v>10.01</v>
      </c>
      <c r="G548" s="6">
        <v>0</v>
      </c>
      <c r="H548" s="6">
        <f t="shared" si="28"/>
        <v>15.015000000000001</v>
      </c>
      <c r="I548" s="6">
        <f t="shared" si="27"/>
        <v>15.015000000000001</v>
      </c>
      <c r="J548" t="s">
        <v>1889</v>
      </c>
    </row>
    <row r="549" spans="1:10" x14ac:dyDescent="0.35">
      <c r="A549" t="s">
        <v>1268</v>
      </c>
      <c r="B549" s="4" t="s">
        <v>666</v>
      </c>
      <c r="C549" s="4" t="s">
        <v>667</v>
      </c>
      <c r="D549" s="4" t="s">
        <v>625</v>
      </c>
      <c r="E549" s="4" t="s">
        <v>626</v>
      </c>
      <c r="F549" s="6">
        <v>9.5</v>
      </c>
      <c r="G549" s="6">
        <v>0</v>
      </c>
      <c r="H549" s="6">
        <f t="shared" si="28"/>
        <v>14.25</v>
      </c>
      <c r="I549" s="6">
        <f t="shared" si="27"/>
        <v>14.25</v>
      </c>
      <c r="J549" t="s">
        <v>1890</v>
      </c>
    </row>
    <row r="550" spans="1:10" x14ac:dyDescent="0.35">
      <c r="A550" t="s">
        <v>1269</v>
      </c>
      <c r="B550" s="4" t="s">
        <v>668</v>
      </c>
      <c r="C550" s="4" t="s">
        <v>667</v>
      </c>
      <c r="D550" s="4" t="s">
        <v>625</v>
      </c>
      <c r="E550" s="4" t="s">
        <v>626</v>
      </c>
      <c r="F550" s="6">
        <v>10.5</v>
      </c>
      <c r="G550" s="6">
        <v>0</v>
      </c>
      <c r="H550" s="6">
        <f t="shared" si="28"/>
        <v>15.75</v>
      </c>
      <c r="I550" s="6">
        <f t="shared" si="27"/>
        <v>15.75</v>
      </c>
      <c r="J550" t="s">
        <v>1891</v>
      </c>
    </row>
    <row r="551" spans="1:10" x14ac:dyDescent="0.35">
      <c r="A551" t="s">
        <v>1270</v>
      </c>
      <c r="B551" s="4" t="s">
        <v>669</v>
      </c>
      <c r="C551" s="4" t="s">
        <v>667</v>
      </c>
      <c r="D551" s="4" t="s">
        <v>625</v>
      </c>
      <c r="E551" s="4" t="s">
        <v>626</v>
      </c>
      <c r="F551" s="6">
        <v>12</v>
      </c>
      <c r="G551" s="6">
        <v>0</v>
      </c>
      <c r="H551" s="6">
        <f t="shared" si="28"/>
        <v>18</v>
      </c>
      <c r="I551" s="6">
        <f t="shared" si="27"/>
        <v>18</v>
      </c>
      <c r="J551" t="s">
        <v>1892</v>
      </c>
    </row>
    <row r="552" spans="1:10" x14ac:dyDescent="0.35">
      <c r="A552" t="s">
        <v>1271</v>
      </c>
      <c r="B552" s="4" t="s">
        <v>670</v>
      </c>
      <c r="C552" s="4" t="s">
        <v>667</v>
      </c>
      <c r="D552" s="4" t="s">
        <v>625</v>
      </c>
      <c r="E552" s="4" t="s">
        <v>626</v>
      </c>
      <c r="F552" s="6">
        <v>12.2</v>
      </c>
      <c r="G552" s="6">
        <v>0</v>
      </c>
      <c r="H552" s="6">
        <f t="shared" si="28"/>
        <v>18.299999999999997</v>
      </c>
      <c r="I552" s="6">
        <f t="shared" si="27"/>
        <v>18.299999999999997</v>
      </c>
      <c r="J552" t="s">
        <v>1893</v>
      </c>
    </row>
    <row r="553" spans="1:10" x14ac:dyDescent="0.35">
      <c r="A553" t="s">
        <v>1272</v>
      </c>
      <c r="B553" s="4" t="s">
        <v>671</v>
      </c>
      <c r="C553" s="4" t="s">
        <v>667</v>
      </c>
      <c r="D553" s="4" t="s">
        <v>625</v>
      </c>
      <c r="E553" s="4" t="s">
        <v>626</v>
      </c>
      <c r="F553" s="6">
        <v>8.65</v>
      </c>
      <c r="G553" s="6">
        <v>0</v>
      </c>
      <c r="H553" s="6">
        <f t="shared" si="28"/>
        <v>12.975000000000001</v>
      </c>
      <c r="I553" s="6">
        <f t="shared" si="27"/>
        <v>12.975000000000001</v>
      </c>
      <c r="J553" t="s">
        <v>1894</v>
      </c>
    </row>
    <row r="554" spans="1:10" x14ac:dyDescent="0.35">
      <c r="A554" t="s">
        <v>1273</v>
      </c>
      <c r="B554" s="4" t="s">
        <v>672</v>
      </c>
      <c r="C554" s="4" t="s">
        <v>667</v>
      </c>
      <c r="D554" s="4" t="s">
        <v>625</v>
      </c>
      <c r="E554" s="4" t="s">
        <v>626</v>
      </c>
      <c r="F554" s="6">
        <v>10</v>
      </c>
      <c r="G554" s="6">
        <v>0</v>
      </c>
      <c r="H554" s="6">
        <f t="shared" si="28"/>
        <v>15</v>
      </c>
      <c r="I554" s="6">
        <f t="shared" si="27"/>
        <v>15</v>
      </c>
      <c r="J554" t="s">
        <v>1895</v>
      </c>
    </row>
    <row r="555" spans="1:10" x14ac:dyDescent="0.35">
      <c r="A555" t="s">
        <v>1274</v>
      </c>
      <c r="B555" s="4" t="s">
        <v>673</v>
      </c>
      <c r="C555" s="4" t="s">
        <v>674</v>
      </c>
      <c r="D555" s="4" t="s">
        <v>625</v>
      </c>
      <c r="E555" s="4" t="s">
        <v>626</v>
      </c>
      <c r="F555" s="6">
        <v>10</v>
      </c>
      <c r="G555" s="6">
        <v>0</v>
      </c>
      <c r="H555" s="6">
        <f t="shared" si="28"/>
        <v>15</v>
      </c>
      <c r="I555" s="6">
        <f t="shared" si="27"/>
        <v>15</v>
      </c>
      <c r="J555" t="s">
        <v>1896</v>
      </c>
    </row>
    <row r="556" spans="1:10" x14ac:dyDescent="0.35">
      <c r="A556" t="s">
        <v>1275</v>
      </c>
      <c r="B556" s="4" t="s">
        <v>675</v>
      </c>
      <c r="C556" s="4" t="s">
        <v>676</v>
      </c>
      <c r="D556" s="4" t="s">
        <v>625</v>
      </c>
      <c r="E556" s="4" t="s">
        <v>626</v>
      </c>
      <c r="F556" s="6">
        <v>12.2</v>
      </c>
      <c r="G556" s="6">
        <v>0</v>
      </c>
      <c r="H556" s="6">
        <f t="shared" si="28"/>
        <v>18.299999999999997</v>
      </c>
      <c r="I556" s="6">
        <f t="shared" si="27"/>
        <v>18.299999999999997</v>
      </c>
      <c r="J556" t="s">
        <v>1897</v>
      </c>
    </row>
    <row r="557" spans="1:10" x14ac:dyDescent="0.35">
      <c r="A557" t="s">
        <v>1276</v>
      </c>
      <c r="B557" s="4" t="s">
        <v>677</v>
      </c>
      <c r="C557" s="4" t="s">
        <v>678</v>
      </c>
      <c r="D557" s="4" t="s">
        <v>625</v>
      </c>
      <c r="E557" s="4" t="s">
        <v>626</v>
      </c>
      <c r="F557" s="6">
        <v>8.65</v>
      </c>
      <c r="G557" s="6">
        <v>0</v>
      </c>
      <c r="H557" s="6">
        <f t="shared" si="28"/>
        <v>12.975000000000001</v>
      </c>
      <c r="I557" s="6">
        <f>((F557+G557)*0.5)+(F557+G557)</f>
        <v>12.975000000000001</v>
      </c>
      <c r="J557" t="s">
        <v>1898</v>
      </c>
    </row>
    <row r="558" spans="1:10" x14ac:dyDescent="0.35">
      <c r="A558" t="s">
        <v>1277</v>
      </c>
      <c r="B558" s="4" t="s">
        <v>679</v>
      </c>
      <c r="C558" s="4" t="s">
        <v>680</v>
      </c>
      <c r="D558" s="4" t="s">
        <v>625</v>
      </c>
      <c r="E558" s="4" t="s">
        <v>681</v>
      </c>
      <c r="F558" s="6">
        <v>77.2</v>
      </c>
      <c r="G558" s="6">
        <v>0</v>
      </c>
      <c r="H558" s="6">
        <f t="shared" si="28"/>
        <v>115.80000000000001</v>
      </c>
      <c r="I558" s="6">
        <f t="shared" ref="I558:I588" si="31">((F558+G558)*0.5)+(F558+G558)</f>
        <v>115.80000000000001</v>
      </c>
      <c r="J558" t="s">
        <v>1899</v>
      </c>
    </row>
    <row r="559" spans="1:10" x14ac:dyDescent="0.35">
      <c r="A559" t="s">
        <v>1278</v>
      </c>
      <c r="B559" s="4" t="s">
        <v>682</v>
      </c>
      <c r="C559" s="4" t="s">
        <v>683</v>
      </c>
      <c r="D559" s="4" t="s">
        <v>625</v>
      </c>
      <c r="E559" s="4" t="s">
        <v>684</v>
      </c>
      <c r="F559" s="6">
        <v>4.54</v>
      </c>
      <c r="G559" s="6">
        <v>0</v>
      </c>
      <c r="H559" s="6">
        <f t="shared" si="28"/>
        <v>6.8100000000000005</v>
      </c>
      <c r="I559" s="6">
        <f t="shared" si="31"/>
        <v>6.8100000000000005</v>
      </c>
      <c r="J559" t="s">
        <v>1900</v>
      </c>
    </row>
    <row r="560" spans="1:10" x14ac:dyDescent="0.35">
      <c r="A560" t="s">
        <v>1279</v>
      </c>
      <c r="B560" s="4" t="s">
        <v>685</v>
      </c>
      <c r="C560" s="4" t="s">
        <v>83</v>
      </c>
      <c r="D560" s="4" t="s">
        <v>686</v>
      </c>
      <c r="E560" s="4" t="s">
        <v>687</v>
      </c>
      <c r="F560" s="6">
        <v>72</v>
      </c>
      <c r="G560" s="6">
        <v>0</v>
      </c>
      <c r="H560" s="6">
        <f t="shared" si="28"/>
        <v>108</v>
      </c>
      <c r="I560" s="6">
        <f t="shared" si="31"/>
        <v>108</v>
      </c>
      <c r="J560" t="s">
        <v>1901</v>
      </c>
    </row>
    <row r="561" spans="1:10" x14ac:dyDescent="0.35">
      <c r="A561" t="s">
        <v>1280</v>
      </c>
      <c r="B561" s="4" t="s">
        <v>688</v>
      </c>
      <c r="C561" s="4" t="s">
        <v>83</v>
      </c>
      <c r="D561" s="4" t="s">
        <v>686</v>
      </c>
      <c r="E561" s="4" t="s">
        <v>687</v>
      </c>
      <c r="F561" s="6">
        <v>60</v>
      </c>
      <c r="G561" s="6">
        <v>0</v>
      </c>
      <c r="H561" s="6">
        <f t="shared" si="28"/>
        <v>90</v>
      </c>
      <c r="I561" s="6">
        <f t="shared" si="31"/>
        <v>90</v>
      </c>
      <c r="J561" t="s">
        <v>1902</v>
      </c>
    </row>
    <row r="562" spans="1:10" x14ac:dyDescent="0.35">
      <c r="A562" t="s">
        <v>1281</v>
      </c>
      <c r="B562" s="4" t="s">
        <v>689</v>
      </c>
      <c r="C562" s="4" t="s">
        <v>83</v>
      </c>
      <c r="D562" s="4" t="s">
        <v>686</v>
      </c>
      <c r="E562" s="4" t="s">
        <v>687</v>
      </c>
      <c r="F562" s="6">
        <v>60</v>
      </c>
      <c r="G562" s="6">
        <v>0</v>
      </c>
      <c r="H562" s="6">
        <f t="shared" si="28"/>
        <v>90</v>
      </c>
      <c r="I562" s="6">
        <f t="shared" si="31"/>
        <v>90</v>
      </c>
      <c r="J562" t="s">
        <v>1903</v>
      </c>
    </row>
    <row r="563" spans="1:10" x14ac:dyDescent="0.35">
      <c r="A563" t="s">
        <v>1282</v>
      </c>
      <c r="B563" s="4" t="s">
        <v>690</v>
      </c>
      <c r="C563" s="4" t="s">
        <v>83</v>
      </c>
      <c r="D563" s="4" t="s">
        <v>686</v>
      </c>
      <c r="E563" s="4" t="s">
        <v>687</v>
      </c>
      <c r="F563" s="6">
        <v>40</v>
      </c>
      <c r="G563" s="6">
        <v>0</v>
      </c>
      <c r="H563" s="6">
        <f t="shared" si="28"/>
        <v>60</v>
      </c>
      <c r="I563" s="6">
        <f t="shared" si="31"/>
        <v>60</v>
      </c>
      <c r="J563" t="s">
        <v>1904</v>
      </c>
    </row>
    <row r="564" spans="1:10" x14ac:dyDescent="0.35">
      <c r="A564" t="s">
        <v>1283</v>
      </c>
      <c r="B564" s="4" t="s">
        <v>691</v>
      </c>
      <c r="C564" s="4" t="s">
        <v>83</v>
      </c>
      <c r="D564" s="4" t="s">
        <v>686</v>
      </c>
      <c r="E564" s="4" t="s">
        <v>687</v>
      </c>
      <c r="F564" s="6">
        <v>36.9</v>
      </c>
      <c r="G564" s="6">
        <v>0</v>
      </c>
      <c r="H564" s="6">
        <f t="shared" si="28"/>
        <v>55.349999999999994</v>
      </c>
      <c r="I564" s="6">
        <f t="shared" si="31"/>
        <v>55.349999999999994</v>
      </c>
      <c r="J564" t="s">
        <v>1905</v>
      </c>
    </row>
    <row r="565" spans="1:10" x14ac:dyDescent="0.35">
      <c r="A565" t="s">
        <v>1284</v>
      </c>
      <c r="B565" s="4" t="s">
        <v>692</v>
      </c>
      <c r="C565" s="4" t="s">
        <v>83</v>
      </c>
      <c r="D565" s="4" t="s">
        <v>686</v>
      </c>
      <c r="E565" s="4" t="s">
        <v>687</v>
      </c>
      <c r="F565" s="6">
        <v>45</v>
      </c>
      <c r="G565" s="6">
        <v>0</v>
      </c>
      <c r="H565" s="6">
        <f t="shared" si="28"/>
        <v>67.5</v>
      </c>
      <c r="I565" s="6">
        <f t="shared" si="31"/>
        <v>67.5</v>
      </c>
      <c r="J565" t="s">
        <v>1906</v>
      </c>
    </row>
    <row r="566" spans="1:10" x14ac:dyDescent="0.35">
      <c r="A566" t="s">
        <v>1285</v>
      </c>
      <c r="B566" s="4" t="s">
        <v>693</v>
      </c>
      <c r="C566" s="4" t="s">
        <v>296</v>
      </c>
      <c r="D566" s="4" t="s">
        <v>686</v>
      </c>
      <c r="E566" s="4" t="s">
        <v>687</v>
      </c>
      <c r="F566" s="6">
        <v>19.440000000000001</v>
      </c>
      <c r="G566" s="6">
        <v>0</v>
      </c>
      <c r="H566" s="6">
        <f t="shared" si="28"/>
        <v>29.160000000000004</v>
      </c>
      <c r="I566" s="6">
        <f t="shared" si="31"/>
        <v>29.160000000000004</v>
      </c>
      <c r="J566" t="s">
        <v>1907</v>
      </c>
    </row>
    <row r="567" spans="1:10" x14ac:dyDescent="0.35">
      <c r="A567" t="s">
        <v>1286</v>
      </c>
      <c r="B567" s="4" t="s">
        <v>694</v>
      </c>
      <c r="C567" s="4" t="s">
        <v>83</v>
      </c>
      <c r="D567" s="4" t="s">
        <v>686</v>
      </c>
      <c r="E567" s="4" t="s">
        <v>687</v>
      </c>
      <c r="F567" s="6">
        <v>41.25</v>
      </c>
      <c r="G567" s="6">
        <v>0</v>
      </c>
      <c r="H567" s="6">
        <f t="shared" si="28"/>
        <v>61.875</v>
      </c>
      <c r="I567" s="6">
        <f t="shared" si="31"/>
        <v>61.875</v>
      </c>
      <c r="J567" t="s">
        <v>1908</v>
      </c>
    </row>
    <row r="568" spans="1:10" x14ac:dyDescent="0.35">
      <c r="A568" t="s">
        <v>1287</v>
      </c>
      <c r="B568" s="4" t="s">
        <v>695</v>
      </c>
      <c r="C568" s="4" t="s">
        <v>83</v>
      </c>
      <c r="D568" s="4" t="s">
        <v>686</v>
      </c>
      <c r="E568" s="4" t="s">
        <v>687</v>
      </c>
      <c r="F568" s="6">
        <v>41.25</v>
      </c>
      <c r="G568" s="6">
        <v>0</v>
      </c>
      <c r="H568" s="6">
        <f t="shared" si="28"/>
        <v>61.875</v>
      </c>
      <c r="I568" s="6">
        <f t="shared" si="31"/>
        <v>61.875</v>
      </c>
      <c r="J568" t="s">
        <v>1909</v>
      </c>
    </row>
    <row r="569" spans="1:10" x14ac:dyDescent="0.35">
      <c r="A569" t="s">
        <v>1288</v>
      </c>
      <c r="B569" s="4" t="s">
        <v>696</v>
      </c>
      <c r="C569" s="4" t="s">
        <v>83</v>
      </c>
      <c r="D569" s="4" t="s">
        <v>686</v>
      </c>
      <c r="E569" s="4" t="s">
        <v>687</v>
      </c>
      <c r="F569" s="6">
        <v>60</v>
      </c>
      <c r="G569" s="6">
        <v>0</v>
      </c>
      <c r="H569" s="6">
        <f t="shared" si="28"/>
        <v>90</v>
      </c>
      <c r="I569" s="6">
        <f t="shared" si="31"/>
        <v>90</v>
      </c>
      <c r="J569" t="s">
        <v>1910</v>
      </c>
    </row>
    <row r="570" spans="1:10" x14ac:dyDescent="0.35">
      <c r="A570" t="s">
        <v>1289</v>
      </c>
      <c r="B570" s="4" t="s">
        <v>697</v>
      </c>
      <c r="C570" s="4" t="s">
        <v>698</v>
      </c>
      <c r="D570" s="4" t="s">
        <v>686</v>
      </c>
      <c r="E570" s="4" t="s">
        <v>687</v>
      </c>
      <c r="F570" s="6">
        <v>12</v>
      </c>
      <c r="G570" s="6">
        <v>0</v>
      </c>
      <c r="H570" s="6">
        <f t="shared" si="28"/>
        <v>18</v>
      </c>
      <c r="I570" s="6">
        <f t="shared" si="31"/>
        <v>18</v>
      </c>
      <c r="J570" t="s">
        <v>1911</v>
      </c>
    </row>
    <row r="571" spans="1:10" x14ac:dyDescent="0.35">
      <c r="A571" t="s">
        <v>1290</v>
      </c>
      <c r="B571" s="4" t="s">
        <v>699</v>
      </c>
      <c r="C571" s="4" t="s">
        <v>698</v>
      </c>
      <c r="D571" s="4" t="s">
        <v>686</v>
      </c>
      <c r="E571" s="4" t="s">
        <v>687</v>
      </c>
      <c r="F571" s="6">
        <v>12</v>
      </c>
      <c r="G571" s="6">
        <v>0</v>
      </c>
      <c r="H571" s="6">
        <f t="shared" si="28"/>
        <v>18</v>
      </c>
      <c r="I571" s="6">
        <f t="shared" si="31"/>
        <v>18</v>
      </c>
      <c r="J571" t="s">
        <v>1912</v>
      </c>
    </row>
    <row r="572" spans="1:10" x14ac:dyDescent="0.35">
      <c r="A572" t="s">
        <v>1291</v>
      </c>
      <c r="B572" s="4" t="s">
        <v>700</v>
      </c>
      <c r="C572" s="4" t="s">
        <v>698</v>
      </c>
      <c r="D572" s="4" t="s">
        <v>686</v>
      </c>
      <c r="E572" s="4" t="s">
        <v>687</v>
      </c>
      <c r="F572" s="6">
        <v>12</v>
      </c>
      <c r="G572" s="6">
        <v>0</v>
      </c>
      <c r="H572" s="6">
        <f t="shared" si="28"/>
        <v>18</v>
      </c>
      <c r="I572" s="6">
        <f t="shared" si="31"/>
        <v>18</v>
      </c>
      <c r="J572" t="s">
        <v>1913</v>
      </c>
    </row>
    <row r="573" spans="1:10" x14ac:dyDescent="0.35">
      <c r="A573" t="s">
        <v>1292</v>
      </c>
      <c r="B573" s="4" t="s">
        <v>701</v>
      </c>
      <c r="C573" s="4" t="s">
        <v>698</v>
      </c>
      <c r="D573" s="4" t="s">
        <v>686</v>
      </c>
      <c r="E573" s="4" t="s">
        <v>687</v>
      </c>
      <c r="F573" s="6">
        <v>12</v>
      </c>
      <c r="G573" s="6">
        <v>0</v>
      </c>
      <c r="H573" s="6">
        <f t="shared" si="28"/>
        <v>18</v>
      </c>
      <c r="I573" s="6">
        <f t="shared" si="31"/>
        <v>18</v>
      </c>
      <c r="J573" t="s">
        <v>1914</v>
      </c>
    </row>
    <row r="574" spans="1:10" x14ac:dyDescent="0.35">
      <c r="A574" t="s">
        <v>1293</v>
      </c>
      <c r="B574" s="4" t="s">
        <v>702</v>
      </c>
      <c r="C574" s="4" t="s">
        <v>296</v>
      </c>
      <c r="D574" s="4" t="s">
        <v>686</v>
      </c>
      <c r="E574" s="4" t="s">
        <v>687</v>
      </c>
      <c r="F574" s="6">
        <v>35.159999999999997</v>
      </c>
      <c r="G574" s="6">
        <v>0</v>
      </c>
      <c r="H574" s="6">
        <f t="shared" si="28"/>
        <v>52.739999999999995</v>
      </c>
      <c r="I574" s="6">
        <f t="shared" si="31"/>
        <v>52.739999999999995</v>
      </c>
      <c r="J574" t="s">
        <v>1915</v>
      </c>
    </row>
    <row r="575" spans="1:10" x14ac:dyDescent="0.35">
      <c r="A575" t="s">
        <v>1294</v>
      </c>
      <c r="B575" s="4" t="s">
        <v>703</v>
      </c>
      <c r="C575" s="4" t="s">
        <v>296</v>
      </c>
      <c r="D575" s="4" t="s">
        <v>686</v>
      </c>
      <c r="E575" s="4" t="s">
        <v>687</v>
      </c>
      <c r="F575" s="6">
        <v>43.02</v>
      </c>
      <c r="G575" s="6">
        <v>0</v>
      </c>
      <c r="H575" s="6">
        <f t="shared" si="28"/>
        <v>64.53</v>
      </c>
      <c r="I575" s="6">
        <f t="shared" si="31"/>
        <v>64.53</v>
      </c>
      <c r="J575" t="s">
        <v>1916</v>
      </c>
    </row>
    <row r="576" spans="1:10" x14ac:dyDescent="0.35">
      <c r="A576" t="s">
        <v>1295</v>
      </c>
      <c r="B576" s="4" t="s">
        <v>704</v>
      </c>
      <c r="C576" s="4" t="s">
        <v>705</v>
      </c>
      <c r="D576" s="4" t="s">
        <v>686</v>
      </c>
      <c r="E576" s="4" t="s">
        <v>687</v>
      </c>
      <c r="F576" s="6">
        <v>72</v>
      </c>
      <c r="G576" s="6">
        <v>0</v>
      </c>
      <c r="H576" s="6">
        <f t="shared" si="28"/>
        <v>108</v>
      </c>
      <c r="I576" s="6">
        <f t="shared" si="31"/>
        <v>108</v>
      </c>
      <c r="J576" t="s">
        <v>1917</v>
      </c>
    </row>
    <row r="577" spans="1:10" x14ac:dyDescent="0.35">
      <c r="A577" t="s">
        <v>1296</v>
      </c>
      <c r="B577" s="4" t="s">
        <v>706</v>
      </c>
      <c r="C577" s="4" t="s">
        <v>705</v>
      </c>
      <c r="D577" s="4" t="s">
        <v>686</v>
      </c>
      <c r="E577" s="4" t="s">
        <v>687</v>
      </c>
      <c r="F577" s="6">
        <v>76</v>
      </c>
      <c r="G577" s="6">
        <v>0</v>
      </c>
      <c r="H577" s="6">
        <f t="shared" si="28"/>
        <v>114</v>
      </c>
      <c r="I577" s="6">
        <f t="shared" si="31"/>
        <v>114</v>
      </c>
      <c r="J577" t="s">
        <v>1918</v>
      </c>
    </row>
    <row r="578" spans="1:10" x14ac:dyDescent="0.35">
      <c r="A578" t="s">
        <v>1297</v>
      </c>
      <c r="B578" s="4" t="s">
        <v>707</v>
      </c>
      <c r="C578" s="4" t="s">
        <v>296</v>
      </c>
      <c r="D578" s="4" t="s">
        <v>686</v>
      </c>
      <c r="E578" s="4" t="s">
        <v>687</v>
      </c>
      <c r="F578" s="6">
        <v>48.88</v>
      </c>
      <c r="G578" s="6">
        <v>0</v>
      </c>
      <c r="H578" s="6">
        <f t="shared" si="28"/>
        <v>73.320000000000007</v>
      </c>
      <c r="I578" s="6">
        <f t="shared" si="31"/>
        <v>73.320000000000007</v>
      </c>
      <c r="J578" t="s">
        <v>1919</v>
      </c>
    </row>
    <row r="579" spans="1:10" x14ac:dyDescent="0.35">
      <c r="A579" t="s">
        <v>1298</v>
      </c>
      <c r="B579" s="4" t="s">
        <v>708</v>
      </c>
      <c r="C579" s="4" t="s">
        <v>296</v>
      </c>
      <c r="D579" s="4" t="s">
        <v>686</v>
      </c>
      <c r="E579" s="4" t="s">
        <v>687</v>
      </c>
      <c r="F579" s="6">
        <v>51.2</v>
      </c>
      <c r="G579" s="6">
        <v>0</v>
      </c>
      <c r="H579" s="6">
        <f t="shared" si="28"/>
        <v>76.800000000000011</v>
      </c>
      <c r="I579" s="6">
        <f t="shared" si="31"/>
        <v>76.800000000000011</v>
      </c>
      <c r="J579" t="s">
        <v>1920</v>
      </c>
    </row>
    <row r="580" spans="1:10" x14ac:dyDescent="0.35">
      <c r="A580" t="s">
        <v>1299</v>
      </c>
      <c r="B580" s="4" t="s">
        <v>709</v>
      </c>
      <c r="C580" s="4" t="s">
        <v>296</v>
      </c>
      <c r="D580" s="4" t="s">
        <v>686</v>
      </c>
      <c r="E580" s="4" t="s">
        <v>687</v>
      </c>
      <c r="F580" s="6">
        <v>44.94</v>
      </c>
      <c r="G580" s="6">
        <v>0</v>
      </c>
      <c r="H580" s="6">
        <f t="shared" si="28"/>
        <v>67.41</v>
      </c>
      <c r="I580" s="6">
        <f t="shared" si="31"/>
        <v>67.41</v>
      </c>
      <c r="J580" t="s">
        <v>1921</v>
      </c>
    </row>
    <row r="581" spans="1:10" x14ac:dyDescent="0.35">
      <c r="A581" t="s">
        <v>1300</v>
      </c>
      <c r="B581" s="4" t="s">
        <v>710</v>
      </c>
      <c r="C581" s="4" t="s">
        <v>296</v>
      </c>
      <c r="D581" s="4" t="s">
        <v>686</v>
      </c>
      <c r="E581" s="4" t="s">
        <v>687</v>
      </c>
      <c r="F581" s="6">
        <v>30.55</v>
      </c>
      <c r="G581" s="6">
        <v>0</v>
      </c>
      <c r="H581" s="6">
        <f t="shared" si="28"/>
        <v>45.825000000000003</v>
      </c>
      <c r="I581" s="6">
        <f t="shared" si="31"/>
        <v>45.825000000000003</v>
      </c>
      <c r="J581" t="s">
        <v>1922</v>
      </c>
    </row>
    <row r="582" spans="1:10" x14ac:dyDescent="0.35">
      <c r="A582" t="s">
        <v>1301</v>
      </c>
      <c r="B582" s="4" t="s">
        <v>711</v>
      </c>
      <c r="C582" s="4" t="s">
        <v>296</v>
      </c>
      <c r="D582" s="4" t="s">
        <v>686</v>
      </c>
      <c r="E582" s="4" t="s">
        <v>687</v>
      </c>
      <c r="F582" s="6">
        <v>27.18</v>
      </c>
      <c r="G582" s="6">
        <v>0</v>
      </c>
      <c r="H582" s="6">
        <f t="shared" ref="H582:H588" si="32">(F582*0.5)+F582</f>
        <v>40.769999999999996</v>
      </c>
      <c r="I582" s="6">
        <f t="shared" si="31"/>
        <v>40.769999999999996</v>
      </c>
      <c r="J582" t="s">
        <v>1923</v>
      </c>
    </row>
    <row r="583" spans="1:10" x14ac:dyDescent="0.35">
      <c r="A583" t="s">
        <v>1930</v>
      </c>
      <c r="B583" s="4" t="s">
        <v>712</v>
      </c>
      <c r="C583" s="4" t="s">
        <v>83</v>
      </c>
      <c r="D583" s="4" t="s">
        <v>686</v>
      </c>
      <c r="E583" s="4" t="s">
        <v>713</v>
      </c>
      <c r="F583" s="6">
        <v>57.6</v>
      </c>
      <c r="G583" s="6">
        <v>0</v>
      </c>
      <c r="H583" s="6">
        <f t="shared" si="32"/>
        <v>86.4</v>
      </c>
      <c r="I583" s="6">
        <f t="shared" si="31"/>
        <v>86.4</v>
      </c>
      <c r="J583" t="s">
        <v>1924</v>
      </c>
    </row>
    <row r="584" spans="1:10" x14ac:dyDescent="0.35">
      <c r="A584" t="s">
        <v>1931</v>
      </c>
      <c r="B584" s="4" t="s">
        <v>714</v>
      </c>
      <c r="C584" s="4" t="s">
        <v>83</v>
      </c>
      <c r="D584" s="4" t="s">
        <v>686</v>
      </c>
      <c r="E584" s="4" t="s">
        <v>713</v>
      </c>
      <c r="F584" s="6">
        <v>57.6</v>
      </c>
      <c r="G584" s="6">
        <v>0</v>
      </c>
      <c r="H584" s="6">
        <f t="shared" si="32"/>
        <v>86.4</v>
      </c>
      <c r="I584" s="6">
        <f t="shared" si="31"/>
        <v>86.4</v>
      </c>
      <c r="J584" t="s">
        <v>1925</v>
      </c>
    </row>
    <row r="585" spans="1:10" x14ac:dyDescent="0.35">
      <c r="A585" t="s">
        <v>1932</v>
      </c>
      <c r="B585" s="4" t="s">
        <v>715</v>
      </c>
      <c r="C585" s="4" t="s">
        <v>83</v>
      </c>
      <c r="D585" s="4" t="s">
        <v>686</v>
      </c>
      <c r="E585" s="4" t="s">
        <v>713</v>
      </c>
      <c r="F585" s="6">
        <v>57.6</v>
      </c>
      <c r="G585" s="6">
        <v>0</v>
      </c>
      <c r="H585" s="6">
        <f t="shared" si="32"/>
        <v>86.4</v>
      </c>
      <c r="I585" s="6">
        <f t="shared" si="31"/>
        <v>86.4</v>
      </c>
      <c r="J585" t="s">
        <v>1926</v>
      </c>
    </row>
    <row r="586" spans="1:10" x14ac:dyDescent="0.35">
      <c r="A586" t="s">
        <v>1933</v>
      </c>
      <c r="B586" s="4" t="s">
        <v>716</v>
      </c>
      <c r="C586" s="4" t="s">
        <v>83</v>
      </c>
      <c r="D586" s="4" t="s">
        <v>686</v>
      </c>
      <c r="E586" s="4" t="s">
        <v>713</v>
      </c>
      <c r="F586" s="6">
        <v>46.36</v>
      </c>
      <c r="G586" s="6">
        <v>0</v>
      </c>
      <c r="H586" s="6">
        <f t="shared" si="32"/>
        <v>69.539999999999992</v>
      </c>
      <c r="I586" s="6">
        <f t="shared" si="31"/>
        <v>69.539999999999992</v>
      </c>
      <c r="J586" t="s">
        <v>1927</v>
      </c>
    </row>
    <row r="587" spans="1:10" x14ac:dyDescent="0.35">
      <c r="A587" t="s">
        <v>1934</v>
      </c>
      <c r="B587" s="4" t="s">
        <v>717</v>
      </c>
      <c r="C587" s="4" t="s">
        <v>83</v>
      </c>
      <c r="D587" s="4" t="s">
        <v>686</v>
      </c>
      <c r="E587" s="4" t="s">
        <v>713</v>
      </c>
      <c r="F587" s="6">
        <v>46.36</v>
      </c>
      <c r="G587" s="6">
        <v>0</v>
      </c>
      <c r="H587" s="6">
        <f t="shared" si="32"/>
        <v>69.539999999999992</v>
      </c>
      <c r="I587" s="6">
        <f t="shared" si="31"/>
        <v>69.539999999999992</v>
      </c>
      <c r="J587" t="s">
        <v>1928</v>
      </c>
    </row>
    <row r="588" spans="1:10" x14ac:dyDescent="0.35">
      <c r="A588" t="s">
        <v>1935</v>
      </c>
      <c r="B588" s="4" t="s">
        <v>718</v>
      </c>
      <c r="C588" s="4" t="s">
        <v>83</v>
      </c>
      <c r="D588" s="4" t="s">
        <v>686</v>
      </c>
      <c r="E588" s="4" t="s">
        <v>713</v>
      </c>
      <c r="F588" s="6">
        <v>83.16</v>
      </c>
      <c r="G588" s="6">
        <v>0</v>
      </c>
      <c r="H588" s="6">
        <f t="shared" si="32"/>
        <v>124.74</v>
      </c>
      <c r="I588" s="6">
        <f t="shared" si="31"/>
        <v>124.74</v>
      </c>
      <c r="J588" t="s">
        <v>1929</v>
      </c>
    </row>
  </sheetData>
  <autoFilter ref="B1:I588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para app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Cruz</dc:creator>
  <cp:lastModifiedBy>Evelyn Cruz</cp:lastModifiedBy>
  <dcterms:created xsi:type="dcterms:W3CDTF">2026-03-16T20:40:56Z</dcterms:created>
  <dcterms:modified xsi:type="dcterms:W3CDTF">2026-05-18T18:58:29Z</dcterms:modified>
</cp:coreProperties>
</file>